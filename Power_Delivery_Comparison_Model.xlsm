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anduit-my.sharepoint.com/personal/usr091281_panduit_com/Documents/Documents/GitHub Repositories/Customer Price Comparison Tool/"/>
    </mc:Choice>
  </mc:AlternateContent>
  <xr:revisionPtr revIDLastSave="0" documentId="8_{A98C081A-6452-428A-8721-4290FD466237}" xr6:coauthVersionLast="47" xr6:coauthVersionMax="47" xr10:uidLastSave="{00000000-0000-0000-0000-000000000000}"/>
  <bookViews>
    <workbookView xWindow="-98" yWindow="-98" windowWidth="21795" windowHeight="13875" xr2:uid="{FE0DD954-E2EF-4450-AEAD-129D610D9A92}"/>
  </bookViews>
  <sheets>
    <sheet name="Summary" sheetId="7" r:id="rId1"/>
    <sheet name="Inputs" sheetId="1" r:id="rId2"/>
    <sheet name="Lookups" sheetId="2" r:id="rId3"/>
    <sheet name="Derived" sheetId="3" r:id="rId4"/>
    <sheet name="AC_Calc" sheetId="4" r:id="rId5"/>
    <sheet name="CL2_Calc" sheetId="5" r:id="rId6"/>
    <sheet name="CL4_Calc" sheetId="6" r:id="rId7"/>
  </sheets>
  <definedNames>
    <definedName name="ac_awg">Derived!$B$4</definedName>
    <definedName name="ac_cableFt">Derived!$B$13</definedName>
    <definedName name="ac_cableRate">Derived!$B$5</definedName>
    <definedName name="AC_Calc_Hours">AC_Calc!$G$30</definedName>
    <definedName name="AC_Calc_Labor">AC_Calc!$J$30</definedName>
    <definedName name="AC_Calc_Material">AC_Calc!$I$30</definedName>
    <definedName name="AC_Calc_Total">AC_Calc!$K$30</definedName>
    <definedName name="AC_Calc_TotalDays">AC_Calc!$G$36</definedName>
    <definedName name="ac_conduitFt">Derived!$B$12</definedName>
    <definedName name="ac_conduitLabor">Derived!$B$9</definedName>
    <definedName name="ac_conduitRate">Derived!$B$8</definedName>
    <definedName name="ac_conduitRow">Derived!$B$7</definedName>
    <definedName name="ac_conduitSize">Derived!$B$6</definedName>
    <definedName name="ac_coreDrillQty">Derived!$B$15</definedName>
    <definedName name="ac_effConduitLabor">Derived!$B$20</definedName>
    <definedName name="ac_effConduitRate">Derived!$B$19</definedName>
    <definedName name="ac_isFull">Derived!$B$17</definedName>
    <definedName name="ac_isSimple">Derived!$B$16</definedName>
    <definedName name="ac_longRun">Derived!$B$3</definedName>
    <definedName name="ac_pullBoxQty">Derived!$B$14</definedName>
    <definedName name="ac_trenchKey">Derived!$B$10</definedName>
    <definedName name="ac_trenchLabor">Derived!$B$60</definedName>
    <definedName name="ac_trenchRate">Derived!$B$59</definedName>
    <definedName name="ac_useOverride">Derived!$B$18</definedName>
    <definedName name="ac_wireCount">Derived!$B$11</definedName>
    <definedName name="cl2_avgPerPull">Derived!$B$30</definedName>
    <definedName name="cl2_awg">Derived!$B$24</definedName>
    <definedName name="cl2_cablePairFt">Derived!$B$34</definedName>
    <definedName name="cl2_cableRate">Derived!$B$25</definedName>
    <definedName name="cl2_cableRow">Derived!$B$23</definedName>
    <definedName name="CL2_Calc_Hours">CL2_Calc!$G$22</definedName>
    <definedName name="CL2_Calc_Labor">CL2_Calc!$J$22</definedName>
    <definedName name="CL2_Calc_Material">CL2_Calc!$I$22</definedName>
    <definedName name="CL2_Calc_Total">CL2_Calc!$K$22</definedName>
    <definedName name="CL2_Calc_TotalDays">CL2_Calc!$G$28</definedName>
    <definedName name="cl2_conductors">Derived!$B$28</definedName>
    <definedName name="cl2_dcHubQty">Derived!$B$36</definedName>
    <definedName name="cl2_dist">Derived!$B$22</definedName>
    <definedName name="cl2_jHookQty">Derived!$B$37</definedName>
    <definedName name="cl2_laborPerFtGroup">Derived!$B$32</definedName>
    <definedName name="cl2_ohms">Derived!$B$26</definedName>
    <definedName name="cl2_pairs">Derived!$B$27</definedName>
    <definedName name="cl2_pathwayFt">Derived!$B$33</definedName>
    <definedName name="cl2_penetrations">Derived!$B$38</definedName>
    <definedName name="cl2_pullEff">Derived!$B$31</definedName>
    <definedName name="cl2_pullGroups">Derived!$B$29</definedName>
    <definedName name="cl2_pullHrs">Derived!$B$35</definedName>
    <definedName name="cl4_cableFt">Derived!$B$48</definedName>
    <definedName name="cl4_cableRate">Derived!$B$47</definedName>
    <definedName name="CL4_Calc_Hours">CL4_Calc!$G$22</definedName>
    <definedName name="CL4_Calc_Labor">CL4_Calc!$J$22</definedName>
    <definedName name="CL4_Calc_Material">CL4_Calc!$I$22</definedName>
    <definedName name="CL4_Calc_Total">CL4_Calc!$K$22</definedName>
    <definedName name="CL4_Calc_TotalDays">CL4_Calc!$G$28</definedName>
    <definedName name="cl4_channels">Derived!$B$45</definedName>
    <definedName name="cl4_conductors">Derived!$B$44</definedName>
    <definedName name="cl4_pairs">Derived!$B$43</definedName>
    <definedName name="cl4_pathwaySupports">Derived!$B$50</definedName>
    <definedName name="cl4_penetrations">Derived!$B$51</definedName>
    <definedName name="cl4_receivers">Derived!$B$46</definedName>
    <definedName name="cl4_runFt">Derived!$B$49</definedName>
    <definedName name="cl4_vdrop">Derived!$B$40</definedName>
    <definedName name="cl4_veff">Derived!$B$41</definedName>
    <definedName name="cl4_wattsPerPair">Derived!$B$42</definedName>
    <definedName name="conduitOverride">Inputs!$B$7</definedName>
    <definedName name="crewSize">Inputs!$B$6</definedName>
    <definedName name="distanceFt">Inputs!$B$5</definedName>
    <definedName name="endDevice">Inputs!$B$14</definedName>
    <definedName name="inBuildingType">Inputs!$B$11</definedName>
    <definedName name="installType">Inputs!$B$10</definedName>
    <definedName name="LK_ACCable">Lookups!$A$5:$F$10</definedName>
    <definedName name="LK_CL2Cable">Lookups!$A$24:$D$27</definedName>
    <definedName name="LK_Conduit">Lookups!$A$15:$E$19</definedName>
    <definedName name="LK_LVTrench">Lookups!$A$52:$C$54</definedName>
    <definedName name="LK_Mults">Lookups!$A$32:$B$47</definedName>
    <definedName name="LK_PwrTrench">Lookups!$A$58:$C$61</definedName>
    <definedName name="lv_trenchLabor">Derived!$B$62</definedName>
    <definedName name="lv_trenchRate">Derived!$B$61</definedName>
    <definedName name="mult_acRouting">Derived!$B$56</definedName>
    <definedName name="mult_endDevice">Derived!$B$58</definedName>
    <definedName name="mult_indoor">Derived!$B$54</definedName>
    <definedName name="mult_installBase">Derived!$B$53</definedName>
    <definedName name="mult_lvRouting">Derived!$B$57</definedName>
    <definedName name="mult_outdoor">Derived!$B$55</definedName>
    <definedName name="outdoorConduitSize">Inputs!$B$13</definedName>
    <definedName name="outdoorType">Inputs!$B$12</definedName>
    <definedName name="powerW">Inputs!$B$4</definedName>
    <definedName name="rateDesign">Inputs!$B$19</definedName>
    <definedName name="rateDesigner">Inputs!$B$20</definedName>
    <definedName name="rateElectrician">Inputs!$B$17</definedName>
    <definedName name="rateLaborer">Inputs!$B$21</definedName>
    <definedName name="rateLvTech">Inputs!$B$18</definedName>
    <definedName name="rateWait">Inputs!$B$22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8" i="7" l="1"/>
  <c r="C18" i="7"/>
  <c r="B18" i="7"/>
  <c r="D17" i="7"/>
  <c r="C17" i="7"/>
  <c r="B17" i="7"/>
  <c r="D16" i="7"/>
  <c r="C16" i="7"/>
  <c r="B16" i="7"/>
  <c r="D15" i="7"/>
  <c r="C15" i="7"/>
  <c r="B15" i="7"/>
  <c r="D14" i="7"/>
  <c r="C14" i="7"/>
  <c r="B14" i="7"/>
  <c r="D13" i="7"/>
  <c r="C13" i="7"/>
  <c r="B13" i="7"/>
  <c r="F8" i="7"/>
  <c r="E8" i="7"/>
  <c r="D8" i="7"/>
  <c r="C8" i="7"/>
  <c r="B8" i="7"/>
  <c r="F7" i="7"/>
  <c r="E7" i="7"/>
  <c r="D7" i="7"/>
  <c r="C7" i="7"/>
  <c r="B7" i="7"/>
  <c r="F6" i="7"/>
  <c r="E6" i="7"/>
  <c r="D6" i="7"/>
  <c r="C6" i="7"/>
  <c r="B6" i="7"/>
  <c r="B3" i="7"/>
  <c r="G28" i="6"/>
  <c r="G27" i="6"/>
  <c r="G26" i="6"/>
  <c r="G25" i="6"/>
  <c r="G24" i="6"/>
  <c r="K22" i="6"/>
  <c r="J22" i="6"/>
  <c r="I22" i="6"/>
  <c r="G22" i="6"/>
  <c r="K20" i="6"/>
  <c r="J20" i="6"/>
  <c r="I20" i="6"/>
  <c r="H20" i="6"/>
  <c r="G20" i="6"/>
  <c r="F20" i="6"/>
  <c r="D20" i="6"/>
  <c r="A20" i="6"/>
  <c r="K19" i="6"/>
  <c r="J19" i="6"/>
  <c r="I19" i="6"/>
  <c r="H19" i="6"/>
  <c r="G19" i="6"/>
  <c r="F19" i="6"/>
  <c r="D19" i="6"/>
  <c r="A19" i="6"/>
  <c r="K18" i="6"/>
  <c r="J18" i="6"/>
  <c r="I18" i="6"/>
  <c r="H18" i="6"/>
  <c r="G18" i="6"/>
  <c r="F18" i="6"/>
  <c r="D18" i="6"/>
  <c r="A18" i="6"/>
  <c r="K17" i="6"/>
  <c r="J17" i="6"/>
  <c r="I17" i="6"/>
  <c r="H17" i="6"/>
  <c r="G17" i="6"/>
  <c r="F17" i="6"/>
  <c r="D17" i="6"/>
  <c r="A17" i="6"/>
  <c r="K16" i="6"/>
  <c r="J16" i="6"/>
  <c r="I16" i="6"/>
  <c r="H16" i="6"/>
  <c r="G16" i="6"/>
  <c r="F16" i="6"/>
  <c r="D16" i="6"/>
  <c r="A16" i="6"/>
  <c r="K15" i="6"/>
  <c r="J15" i="6"/>
  <c r="I15" i="6"/>
  <c r="H15" i="6"/>
  <c r="G15" i="6"/>
  <c r="F15" i="6"/>
  <c r="D15" i="6"/>
  <c r="A15" i="6"/>
  <c r="K14" i="6"/>
  <c r="J14" i="6"/>
  <c r="I14" i="6"/>
  <c r="H14" i="6"/>
  <c r="G14" i="6"/>
  <c r="F14" i="6"/>
  <c r="D14" i="6"/>
  <c r="A14" i="6"/>
  <c r="K13" i="6"/>
  <c r="J13" i="6"/>
  <c r="I13" i="6"/>
  <c r="H13" i="6"/>
  <c r="G13" i="6"/>
  <c r="F13" i="6"/>
  <c r="D13" i="6"/>
  <c r="A13" i="6"/>
  <c r="K12" i="6"/>
  <c r="J12" i="6"/>
  <c r="I12" i="6"/>
  <c r="H12" i="6"/>
  <c r="G12" i="6"/>
  <c r="F12" i="6"/>
  <c r="D12" i="6"/>
  <c r="A12" i="6"/>
  <c r="K11" i="6"/>
  <c r="J11" i="6"/>
  <c r="I11" i="6"/>
  <c r="H11" i="6"/>
  <c r="G11" i="6"/>
  <c r="F11" i="6"/>
  <c r="D11" i="6"/>
  <c r="A11" i="6"/>
  <c r="K10" i="6"/>
  <c r="J10" i="6"/>
  <c r="I10" i="6"/>
  <c r="H10" i="6"/>
  <c r="G10" i="6"/>
  <c r="F10" i="6"/>
  <c r="D10" i="6"/>
  <c r="A10" i="6"/>
  <c r="K9" i="6"/>
  <c r="J9" i="6"/>
  <c r="I9" i="6"/>
  <c r="H9" i="6"/>
  <c r="G9" i="6"/>
  <c r="F9" i="6"/>
  <c r="D9" i="6"/>
  <c r="A9" i="6"/>
  <c r="K8" i="6"/>
  <c r="J8" i="6"/>
  <c r="I8" i="6"/>
  <c r="H8" i="6"/>
  <c r="G8" i="6"/>
  <c r="F8" i="6"/>
  <c r="D8" i="6"/>
  <c r="A8" i="6"/>
  <c r="K7" i="6"/>
  <c r="J7" i="6"/>
  <c r="I7" i="6"/>
  <c r="H7" i="6"/>
  <c r="G7" i="6"/>
  <c r="F7" i="6"/>
  <c r="D7" i="6"/>
  <c r="A7" i="6"/>
  <c r="K6" i="6"/>
  <c r="J6" i="6"/>
  <c r="I6" i="6"/>
  <c r="H6" i="6"/>
  <c r="G6" i="6"/>
  <c r="F6" i="6"/>
  <c r="D6" i="6"/>
  <c r="A6" i="6"/>
  <c r="K5" i="6"/>
  <c r="J5" i="6"/>
  <c r="I5" i="6"/>
  <c r="H5" i="6"/>
  <c r="G5" i="6"/>
  <c r="F5" i="6"/>
  <c r="D5" i="6"/>
  <c r="A5" i="6"/>
  <c r="K4" i="6"/>
  <c r="J4" i="6"/>
  <c r="I4" i="6"/>
  <c r="H4" i="6"/>
  <c r="G4" i="6"/>
  <c r="F4" i="6"/>
  <c r="D4" i="6"/>
  <c r="A4" i="6"/>
  <c r="G28" i="5"/>
  <c r="G27" i="5"/>
  <c r="G26" i="5"/>
  <c r="G25" i="5"/>
  <c r="G24" i="5"/>
  <c r="K22" i="5"/>
  <c r="J22" i="5"/>
  <c r="I22" i="5"/>
  <c r="G22" i="5"/>
  <c r="K20" i="5"/>
  <c r="J20" i="5"/>
  <c r="I20" i="5"/>
  <c r="H20" i="5"/>
  <c r="G20" i="5"/>
  <c r="F20" i="5"/>
  <c r="D20" i="5"/>
  <c r="A20" i="5"/>
  <c r="K19" i="5"/>
  <c r="J19" i="5"/>
  <c r="I19" i="5"/>
  <c r="H19" i="5"/>
  <c r="G19" i="5"/>
  <c r="F19" i="5"/>
  <c r="D19" i="5"/>
  <c r="A19" i="5"/>
  <c r="K18" i="5"/>
  <c r="J18" i="5"/>
  <c r="I18" i="5"/>
  <c r="H18" i="5"/>
  <c r="G18" i="5"/>
  <c r="F18" i="5"/>
  <c r="D18" i="5"/>
  <c r="A18" i="5"/>
  <c r="K17" i="5"/>
  <c r="J17" i="5"/>
  <c r="I17" i="5"/>
  <c r="H17" i="5"/>
  <c r="G17" i="5"/>
  <c r="F17" i="5"/>
  <c r="D17" i="5"/>
  <c r="A17" i="5"/>
  <c r="K16" i="5"/>
  <c r="J16" i="5"/>
  <c r="I16" i="5"/>
  <c r="H16" i="5"/>
  <c r="G16" i="5"/>
  <c r="F16" i="5"/>
  <c r="D16" i="5"/>
  <c r="A16" i="5"/>
  <c r="K15" i="5"/>
  <c r="J15" i="5"/>
  <c r="I15" i="5"/>
  <c r="H15" i="5"/>
  <c r="G15" i="5"/>
  <c r="F15" i="5"/>
  <c r="D15" i="5"/>
  <c r="A15" i="5"/>
  <c r="K14" i="5"/>
  <c r="J14" i="5"/>
  <c r="I14" i="5"/>
  <c r="H14" i="5"/>
  <c r="G14" i="5"/>
  <c r="F14" i="5"/>
  <c r="D14" i="5"/>
  <c r="A14" i="5"/>
  <c r="K13" i="5"/>
  <c r="J13" i="5"/>
  <c r="I13" i="5"/>
  <c r="H13" i="5"/>
  <c r="G13" i="5"/>
  <c r="F13" i="5"/>
  <c r="D13" i="5"/>
  <c r="A13" i="5"/>
  <c r="K12" i="5"/>
  <c r="J12" i="5"/>
  <c r="I12" i="5"/>
  <c r="H12" i="5"/>
  <c r="G12" i="5"/>
  <c r="F12" i="5"/>
  <c r="D12" i="5"/>
  <c r="A12" i="5"/>
  <c r="K11" i="5"/>
  <c r="J11" i="5"/>
  <c r="I11" i="5"/>
  <c r="H11" i="5"/>
  <c r="G11" i="5"/>
  <c r="F11" i="5"/>
  <c r="D11" i="5"/>
  <c r="A11" i="5"/>
  <c r="K10" i="5"/>
  <c r="J10" i="5"/>
  <c r="I10" i="5"/>
  <c r="H10" i="5"/>
  <c r="G10" i="5"/>
  <c r="F10" i="5"/>
  <c r="D10" i="5"/>
  <c r="A10" i="5"/>
  <c r="K9" i="5"/>
  <c r="J9" i="5"/>
  <c r="I9" i="5"/>
  <c r="H9" i="5"/>
  <c r="G9" i="5"/>
  <c r="F9" i="5"/>
  <c r="D9" i="5"/>
  <c r="A9" i="5"/>
  <c r="K8" i="5"/>
  <c r="J8" i="5"/>
  <c r="I8" i="5"/>
  <c r="H8" i="5"/>
  <c r="G8" i="5"/>
  <c r="F8" i="5"/>
  <c r="D8" i="5"/>
  <c r="A8" i="5"/>
  <c r="K7" i="5"/>
  <c r="J7" i="5"/>
  <c r="I7" i="5"/>
  <c r="H7" i="5"/>
  <c r="G7" i="5"/>
  <c r="F7" i="5"/>
  <c r="D7" i="5"/>
  <c r="A7" i="5"/>
  <c r="K6" i="5"/>
  <c r="J6" i="5"/>
  <c r="I6" i="5"/>
  <c r="H6" i="5"/>
  <c r="G6" i="5"/>
  <c r="F6" i="5"/>
  <c r="D6" i="5"/>
  <c r="A6" i="5"/>
  <c r="K5" i="5"/>
  <c r="J5" i="5"/>
  <c r="I5" i="5"/>
  <c r="H5" i="5"/>
  <c r="G5" i="5"/>
  <c r="F5" i="5"/>
  <c r="D5" i="5"/>
  <c r="A5" i="5"/>
  <c r="K4" i="5"/>
  <c r="J4" i="5"/>
  <c r="I4" i="5"/>
  <c r="H4" i="5"/>
  <c r="G4" i="5"/>
  <c r="F4" i="5"/>
  <c r="D4" i="5"/>
  <c r="A4" i="5"/>
  <c r="G36" i="4"/>
  <c r="G35" i="4"/>
  <c r="G34" i="4"/>
  <c r="G33" i="4"/>
  <c r="G32" i="4"/>
  <c r="K30" i="4"/>
  <c r="J30" i="4"/>
  <c r="I30" i="4"/>
  <c r="G30" i="4"/>
  <c r="K28" i="4"/>
  <c r="J28" i="4"/>
  <c r="I28" i="4"/>
  <c r="H28" i="4"/>
  <c r="G28" i="4"/>
  <c r="F28" i="4"/>
  <c r="D28" i="4"/>
  <c r="A28" i="4"/>
  <c r="K27" i="4"/>
  <c r="J27" i="4"/>
  <c r="I27" i="4"/>
  <c r="H27" i="4"/>
  <c r="G27" i="4"/>
  <c r="F27" i="4"/>
  <c r="D27" i="4"/>
  <c r="A27" i="4"/>
  <c r="K26" i="4"/>
  <c r="J26" i="4"/>
  <c r="I26" i="4"/>
  <c r="H26" i="4"/>
  <c r="G26" i="4"/>
  <c r="F26" i="4"/>
  <c r="D26" i="4"/>
  <c r="A26" i="4"/>
  <c r="K25" i="4"/>
  <c r="J25" i="4"/>
  <c r="I25" i="4"/>
  <c r="H25" i="4"/>
  <c r="G25" i="4"/>
  <c r="F25" i="4"/>
  <c r="D25" i="4"/>
  <c r="A25" i="4"/>
  <c r="K24" i="4"/>
  <c r="J24" i="4"/>
  <c r="I24" i="4"/>
  <c r="H24" i="4"/>
  <c r="G24" i="4"/>
  <c r="F24" i="4"/>
  <c r="D24" i="4"/>
  <c r="A24" i="4"/>
  <c r="K23" i="4"/>
  <c r="J23" i="4"/>
  <c r="I23" i="4"/>
  <c r="H23" i="4"/>
  <c r="G23" i="4"/>
  <c r="F23" i="4"/>
  <c r="D23" i="4"/>
  <c r="A23" i="4"/>
  <c r="K22" i="4"/>
  <c r="J22" i="4"/>
  <c r="I22" i="4"/>
  <c r="H22" i="4"/>
  <c r="G22" i="4"/>
  <c r="F22" i="4"/>
  <c r="D22" i="4"/>
  <c r="A22" i="4"/>
  <c r="K21" i="4"/>
  <c r="J21" i="4"/>
  <c r="I21" i="4"/>
  <c r="H21" i="4"/>
  <c r="G21" i="4"/>
  <c r="F21" i="4"/>
  <c r="D21" i="4"/>
  <c r="A21" i="4"/>
  <c r="K20" i="4"/>
  <c r="J20" i="4"/>
  <c r="I20" i="4"/>
  <c r="H20" i="4"/>
  <c r="G20" i="4"/>
  <c r="F20" i="4"/>
  <c r="D20" i="4"/>
  <c r="A20" i="4"/>
  <c r="K19" i="4"/>
  <c r="J19" i="4"/>
  <c r="I19" i="4"/>
  <c r="H19" i="4"/>
  <c r="G19" i="4"/>
  <c r="F19" i="4"/>
  <c r="D19" i="4"/>
  <c r="A19" i="4"/>
  <c r="K18" i="4"/>
  <c r="J18" i="4"/>
  <c r="I18" i="4"/>
  <c r="H18" i="4"/>
  <c r="G18" i="4"/>
  <c r="F18" i="4"/>
  <c r="D18" i="4"/>
  <c r="A18" i="4"/>
  <c r="K17" i="4"/>
  <c r="J17" i="4"/>
  <c r="I17" i="4"/>
  <c r="H17" i="4"/>
  <c r="G17" i="4"/>
  <c r="F17" i="4"/>
  <c r="D17" i="4"/>
  <c r="A17" i="4"/>
  <c r="K16" i="4"/>
  <c r="J16" i="4"/>
  <c r="I16" i="4"/>
  <c r="H16" i="4"/>
  <c r="G16" i="4"/>
  <c r="F16" i="4"/>
  <c r="D16" i="4"/>
  <c r="A16" i="4"/>
  <c r="K15" i="4"/>
  <c r="J15" i="4"/>
  <c r="I15" i="4"/>
  <c r="H15" i="4"/>
  <c r="G15" i="4"/>
  <c r="F15" i="4"/>
  <c r="D15" i="4"/>
  <c r="A15" i="4"/>
  <c r="K14" i="4"/>
  <c r="J14" i="4"/>
  <c r="I14" i="4"/>
  <c r="H14" i="4"/>
  <c r="G14" i="4"/>
  <c r="F14" i="4"/>
  <c r="D14" i="4"/>
  <c r="A14" i="4"/>
  <c r="K13" i="4"/>
  <c r="J13" i="4"/>
  <c r="I13" i="4"/>
  <c r="H13" i="4"/>
  <c r="G13" i="4"/>
  <c r="F13" i="4"/>
  <c r="D13" i="4"/>
  <c r="A13" i="4"/>
  <c r="K12" i="4"/>
  <c r="J12" i="4"/>
  <c r="I12" i="4"/>
  <c r="H12" i="4"/>
  <c r="G12" i="4"/>
  <c r="F12" i="4"/>
  <c r="D12" i="4"/>
  <c r="A12" i="4"/>
  <c r="K11" i="4"/>
  <c r="J11" i="4"/>
  <c r="I11" i="4"/>
  <c r="H11" i="4"/>
  <c r="G11" i="4"/>
  <c r="F11" i="4"/>
  <c r="D11" i="4"/>
  <c r="A11" i="4"/>
  <c r="K10" i="4"/>
  <c r="J10" i="4"/>
  <c r="I10" i="4"/>
  <c r="H10" i="4"/>
  <c r="G10" i="4"/>
  <c r="F10" i="4"/>
  <c r="D10" i="4"/>
  <c r="A10" i="4"/>
  <c r="K9" i="4"/>
  <c r="J9" i="4"/>
  <c r="I9" i="4"/>
  <c r="H9" i="4"/>
  <c r="G9" i="4"/>
  <c r="F9" i="4"/>
  <c r="D9" i="4"/>
  <c r="A9" i="4"/>
  <c r="K8" i="4"/>
  <c r="J8" i="4"/>
  <c r="I8" i="4"/>
  <c r="H8" i="4"/>
  <c r="G8" i="4"/>
  <c r="F8" i="4"/>
  <c r="D8" i="4"/>
  <c r="A8" i="4"/>
  <c r="K7" i="4"/>
  <c r="J7" i="4"/>
  <c r="I7" i="4"/>
  <c r="H7" i="4"/>
  <c r="G7" i="4"/>
  <c r="F7" i="4"/>
  <c r="D7" i="4"/>
  <c r="A7" i="4"/>
  <c r="K6" i="4"/>
  <c r="J6" i="4"/>
  <c r="I6" i="4"/>
  <c r="H6" i="4"/>
  <c r="G6" i="4"/>
  <c r="F6" i="4"/>
  <c r="D6" i="4"/>
  <c r="A6" i="4"/>
  <c r="K5" i="4"/>
  <c r="J5" i="4"/>
  <c r="I5" i="4"/>
  <c r="H5" i="4"/>
  <c r="G5" i="4"/>
  <c r="F5" i="4"/>
  <c r="D5" i="4"/>
  <c r="A5" i="4"/>
  <c r="K4" i="4"/>
  <c r="J4" i="4"/>
  <c r="I4" i="4"/>
  <c r="H4" i="4"/>
  <c r="G4" i="4"/>
  <c r="F4" i="4"/>
  <c r="D4" i="4"/>
  <c r="A4" i="4"/>
  <c r="B62" i="3"/>
  <c r="B61" i="3"/>
  <c r="B60" i="3"/>
  <c r="B59" i="3"/>
  <c r="B58" i="3"/>
  <c r="B57" i="3"/>
  <c r="B56" i="3"/>
  <c r="B55" i="3"/>
  <c r="B54" i="3"/>
  <c r="B53" i="3"/>
  <c r="B51" i="3"/>
  <c r="B50" i="3"/>
  <c r="B49" i="3"/>
  <c r="B48" i="3"/>
  <c r="B47" i="3"/>
  <c r="B46" i="3"/>
  <c r="B45" i="3"/>
  <c r="B44" i="3"/>
  <c r="B43" i="3"/>
  <c r="B42" i="3"/>
  <c r="B41" i="3"/>
  <c r="B40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</calcChain>
</file>

<file path=xl/sharedStrings.xml><?xml version="1.0" encoding="utf-8"?>
<sst xmlns="http://schemas.openxmlformats.org/spreadsheetml/2006/main" count="520" uniqueCount="330">
  <si>
    <t>POWER DELIVERY COMPARISON — INPUTS</t>
  </si>
  <si>
    <t>PROJECT INPUTS</t>
  </si>
  <si>
    <t>Power required</t>
  </si>
  <si>
    <t>W</t>
  </si>
  <si>
    <t>powerW</t>
  </si>
  <si>
    <t>Distance (ft)</t>
  </si>
  <si>
    <t>ft</t>
  </si>
  <si>
    <t>distanceFt</t>
  </si>
  <si>
    <t>Crew size</t>
  </si>
  <si>
    <t>persons</t>
  </si>
  <si>
    <t>crewSize</t>
  </si>
  <si>
    <t>Conduit override (0 = use lookup)</t>
  </si>
  <si>
    <t>$/ft</t>
  </si>
  <si>
    <t>conduitOverride</t>
  </si>
  <si>
    <t>INSTALLATION CONFIG</t>
  </si>
  <si>
    <t>Installation type (indoor/outdoor/mixed)</t>
  </si>
  <si>
    <t>indoor</t>
  </si>
  <si>
    <t>installType</t>
  </si>
  <si>
    <t>In-building routing</t>
  </si>
  <si>
    <t>idf</t>
  </si>
  <si>
    <t>inBuildingType</t>
  </si>
  <si>
    <t>Outdoor routing</t>
  </si>
  <si>
    <t>direct-bury</t>
  </si>
  <si>
    <t>outdoorType</t>
  </si>
  <si>
    <t>AC conduit size (outdoor) — 3/4 / 1 / 1-1/4 / 2 / 4</t>
  </si>
  <si>
    <t>2"</t>
  </si>
  <si>
    <t>in</t>
  </si>
  <si>
    <t>outdoorConduitSize</t>
  </si>
  <si>
    <t>End device (switch/media-converter/direct)</t>
  </si>
  <si>
    <t>switch</t>
  </si>
  <si>
    <t>endDevice</t>
  </si>
  <si>
    <t>LABOR RATES</t>
  </si>
  <si>
    <t>Electrician</t>
  </si>
  <si>
    <t>$/hr</t>
  </si>
  <si>
    <t>rateElectrician</t>
  </si>
  <si>
    <t>LV Technician</t>
  </si>
  <si>
    <t>rateLvTech</t>
  </si>
  <si>
    <t>Design / PM</t>
  </si>
  <si>
    <t>rateDesign</t>
  </si>
  <si>
    <t>Electrical Designer</t>
  </si>
  <si>
    <t>rateDesigner</t>
  </si>
  <si>
    <t>Construction Laborer</t>
  </si>
  <si>
    <t>rateLaborer</t>
  </si>
  <si>
    <t>Wait time (AHJ) — no labor cost</t>
  </si>
  <si>
    <t>rateWait</t>
  </si>
  <si>
    <t>Notes:</t>
  </si>
  <si>
    <t>Yellow cells are user-editable inputs. Column D shows the workbook-defined name.</t>
  </si>
  <si>
    <t>All downstream sheets reference these names; change inputs and totals recalculate automatically.</t>
  </si>
  <si>
    <t>installType: indoor | outdoor | mixed</t>
  </si>
  <si>
    <t>inBuildingType: idf | plenum | open-tray | j-hooks | surface</t>
  </si>
  <si>
    <t>outdoorType: direct-bury | conduit-bury | aerial | wall-mount | underground-duct</t>
  </si>
  <si>
    <t>outdoorConduitSize: 3/4" | 1" | 1-1/4" | 2" (default) | 4" — only applied when installType is outdoor or mixed</t>
  </si>
  <si>
    <t>endDevice: switch | media-converter | direct</t>
  </si>
  <si>
    <t>Use the Recalculate button on Summary to force a refresh (also available via F9).</t>
  </si>
  <si>
    <t>LOOKUPS — referenced by all calculation sheets</t>
  </si>
  <si>
    <t>AC CABLE (electricalCableRate)</t>
  </si>
  <si>
    <t>Tier max W</t>
  </si>
  <si>
    <t>AWG short</t>
  </si>
  <si>
    <t>Rate short $/cond-ft</t>
  </si>
  <si>
    <t>AWG long</t>
  </si>
  <si>
    <t>Rate long $/cond-ft</t>
  </si>
  <si>
    <t>Long-run threshold ft</t>
  </si>
  <si>
    <t>#12</t>
  </si>
  <si>
    <t>#10</t>
  </si>
  <si>
    <t>#8</t>
  </si>
  <si>
    <t>#6</t>
  </si>
  <si>
    <t>#4</t>
  </si>
  <si>
    <t>#1</t>
  </si>
  <si>
    <t>AC CONDUIT (conduitRate)</t>
  </si>
  <si>
    <t>Size</t>
  </si>
  <si>
    <t>Rate $/ft</t>
  </si>
  <si>
    <t>Labor hrs/ft</t>
  </si>
  <si>
    <t>Trench-size key</t>
  </si>
  <si>
    <t>3/4"</t>
  </si>
  <si>
    <t>1-conduit</t>
  </si>
  <si>
    <t>1"</t>
  </si>
  <si>
    <t>1-1/4"</t>
  </si>
  <si>
    <t>2-conduit</t>
  </si>
  <si>
    <t>4"</t>
  </si>
  <si>
    <t>4-conduit</t>
  </si>
  <si>
    <t>CL2 CABLE (class2CableSpec — by distance)</t>
  </si>
  <si>
    <t>Max distance ft</t>
  </si>
  <si>
    <t>AWG</t>
  </si>
  <si>
    <t>Rate $/pair-ft</t>
  </si>
  <si>
    <t>Ohms/ft</t>
  </si>
  <si>
    <t>ROUTING MULTIPLIERS</t>
  </si>
  <si>
    <t>Key</t>
  </si>
  <si>
    <t>Multiplier</t>
  </si>
  <si>
    <t>Notes</t>
  </si>
  <si>
    <t>install_indoor</t>
  </si>
  <si>
    <t>installType base — indoor</t>
  </si>
  <si>
    <t>install_outdoor</t>
  </si>
  <si>
    <t>installType base — outdoor</t>
  </si>
  <si>
    <t>install_mixed</t>
  </si>
  <si>
    <t>installType base — mixed</t>
  </si>
  <si>
    <t>ind_idf</t>
  </si>
  <si>
    <t>in-building IDF/conduit</t>
  </si>
  <si>
    <t>ind_plenum</t>
  </si>
  <si>
    <t>in-building plenum</t>
  </si>
  <si>
    <t>ind_open-tray</t>
  </si>
  <si>
    <t>in-building open tray</t>
  </si>
  <si>
    <t>ind_j-hooks</t>
  </si>
  <si>
    <t>in-building j-hooks</t>
  </si>
  <si>
    <t>ind_surface</t>
  </si>
  <si>
    <t>in-building surface</t>
  </si>
  <si>
    <t>out_direct-bury</t>
  </si>
  <si>
    <t>outdoor direct-bury (trenching is separate line item)</t>
  </si>
  <si>
    <t>out_conduit-bury</t>
  </si>
  <si>
    <t>outdoor conduit-buried</t>
  </si>
  <si>
    <t>out_aerial</t>
  </si>
  <si>
    <t>outdoor aerial</t>
  </si>
  <si>
    <t>out_wall-mount</t>
  </si>
  <si>
    <t>outdoor wall-mount</t>
  </si>
  <si>
    <t>out_underground-duct</t>
  </si>
  <si>
    <t>outdoor underground duct</t>
  </si>
  <si>
    <t>end_switch</t>
  </si>
  <si>
    <t>end device — network switch</t>
  </si>
  <si>
    <t>end_media-converter</t>
  </si>
  <si>
    <t>end device — media converter</t>
  </si>
  <si>
    <t>end_direct</t>
  </si>
  <si>
    <t>end device — direct to device</t>
  </si>
  <si>
    <t>TRENCHING — LV (CL2/CL4) 18-24" depth</t>
  </si>
  <si>
    <t>Key (out_*)</t>
  </si>
  <si>
    <t>conduit-bury</t>
  </si>
  <si>
    <t>underground-duct</t>
  </si>
  <si>
    <t>TRENCHING — Power (AC) 30-36" depth</t>
  </si>
  <si>
    <t>Trench key</t>
  </si>
  <si>
    <t>DERIVED VALUES — intermediate calcs</t>
  </si>
  <si>
    <t>AC long-run flag (distance &gt; 300)</t>
  </si>
  <si>
    <t>ac_longRun</t>
  </si>
  <si>
    <t>AC AWG selected</t>
  </si>
  <si>
    <t>ac_awg</t>
  </si>
  <si>
    <t>AC cable rate $/cond-ft</t>
  </si>
  <si>
    <t>ac_cableRate</t>
  </si>
  <si>
    <t>AC conduit size (always 2 in. indoors; outdoor uses outdoorConduitSize)</t>
  </si>
  <si>
    <t>ac_conduitSize</t>
  </si>
  <si>
    <t>AC conduit row (lookup by size)</t>
  </si>
  <si>
    <t>ac_conduitRow</t>
  </si>
  <si>
    <t>AC conduit rate $/ft</t>
  </si>
  <si>
    <t>ac_conduitRate</t>
  </si>
  <si>
    <t>AC conduit labor hrs/ft</t>
  </si>
  <si>
    <t>ac_conduitLabor</t>
  </si>
  <si>
    <t>AC trench size key</t>
  </si>
  <si>
    <t>ac_trenchKey</t>
  </si>
  <si>
    <t>AC conductor count (3 if &lt;=2000, else 5)</t>
  </si>
  <si>
    <t>ac_wireCount</t>
  </si>
  <si>
    <t>AC conduit ft (distance × 1.15)</t>
  </si>
  <si>
    <t>ac_conduitFt</t>
  </si>
  <si>
    <t>AC cable ft (distance × 1.18)</t>
  </si>
  <si>
    <t>ac_cableFt</t>
  </si>
  <si>
    <t>AC pull boxes (max(0, ceil(conduitFt/100)-1))</t>
  </si>
  <si>
    <t>ac_pullBoxQty</t>
  </si>
  <si>
    <t>AC core drill qty (max(1, ceil(distance/150)))</t>
  </si>
  <si>
    <t>ac_coreDrillQty</t>
  </si>
  <si>
    <t>AC isSimple (dist&lt;260 AND power&lt;2000)</t>
  </si>
  <si>
    <t>ac_isSimple</t>
  </si>
  <si>
    <t>AC isFull (power&gt;10000 OR distance&gt;800)</t>
  </si>
  <si>
    <t>ac_isFull</t>
  </si>
  <si>
    <t>AC useConduitOverride (override&gt;0)</t>
  </si>
  <si>
    <t>ac_useOverride</t>
  </si>
  <si>
    <t>AC effective conduit $/ft</t>
  </si>
  <si>
    <t>ac_effConduitRate</t>
  </si>
  <si>
    <t>AC effective conduit labor hrs/ft</t>
  </si>
  <si>
    <t>ac_effConduitLabor</t>
  </si>
  <si>
    <t>— CL2 —</t>
  </si>
  <si>
    <t>CL2 distance (clamped to 1750)</t>
  </si>
  <si>
    <t>cl2_dist</t>
  </si>
  <si>
    <t>CL2 cable row (by distance)</t>
  </si>
  <si>
    <t>cl2_cableRow</t>
  </si>
  <si>
    <t>CL2 AWG</t>
  </si>
  <si>
    <t>cl2_awg</t>
  </si>
  <si>
    <t>CL2 cable rate $/pair-ft</t>
  </si>
  <si>
    <t>cl2_cableRate</t>
  </si>
  <si>
    <t>CL2 ohms/ft</t>
  </si>
  <si>
    <t>cl2_ohms</t>
  </si>
  <si>
    <t>CL2 pairs (ceil(power/100))</t>
  </si>
  <si>
    <t>cl2_pairs</t>
  </si>
  <si>
    <t>CL2 total conductors</t>
  </si>
  <si>
    <t>cl2_conductors</t>
  </si>
  <si>
    <t>CL2 pull groups (ceil(conductors/8))</t>
  </si>
  <si>
    <t>cl2_pullGroups</t>
  </si>
  <si>
    <t>CL2 avg conductors per pull</t>
  </si>
  <si>
    <t>cl2_avgPerPull</t>
  </si>
  <si>
    <t>CL2 pull efficiency factor</t>
  </si>
  <si>
    <t>cl2_pullEff</t>
  </si>
  <si>
    <t>CL2 labor /ft per group</t>
  </si>
  <si>
    <t>cl2_laborPerFtGroup</t>
  </si>
  <si>
    <t>CL2 pathway ft (cl2_dist × 1.05)</t>
  </si>
  <si>
    <t>cl2_pathwayFt</t>
  </si>
  <si>
    <t>CL2 cable pair-ft (pairs × cl2_dist × 1.10)</t>
  </si>
  <si>
    <t>cl2_cablePairFt</t>
  </si>
  <si>
    <t>CL2 pull labor hrs (groups × cl2_dist × 1.10 × labor)</t>
  </si>
  <si>
    <t>cl2_pullHrs</t>
  </si>
  <si>
    <t>CL2 DC hubs (ceil(power/300))</t>
  </si>
  <si>
    <t>cl2_dcHubQty</t>
  </si>
  <si>
    <t>CL2 J-hooks (ceil(pathwayFt/6))</t>
  </si>
  <si>
    <t>cl2_jHookQty</t>
  </si>
  <si>
    <t>CL2 penetrations (max(1, ceil(cl2_dist/200)))</t>
  </si>
  <si>
    <t>cl2_penetrations</t>
  </si>
  <si>
    <t>— CL4 —</t>
  </si>
  <si>
    <t>CL4 voltage drop (V)</t>
  </si>
  <si>
    <t>cl4_vdrop</t>
  </si>
  <si>
    <t>CL4 effective voltage (max 80% floor)</t>
  </si>
  <si>
    <t>cl4_veff</t>
  </si>
  <si>
    <t>CL4 watts per pair</t>
  </si>
  <si>
    <t>cl4_wattsPerPair</t>
  </si>
  <si>
    <t>CL4 pair count</t>
  </si>
  <si>
    <t>cl4_pairs</t>
  </si>
  <si>
    <t>CL4 total conductors</t>
  </si>
  <si>
    <t>cl4_conductors</t>
  </si>
  <si>
    <t>CL4 channels (ceil(power/1300))</t>
  </si>
  <si>
    <t>cl4_channels</t>
  </si>
  <si>
    <t>CL4 receivers (ceil(power/1500))</t>
  </si>
  <si>
    <t>cl4_receivers</t>
  </si>
  <si>
    <t>CL4 cable rate $/ft (1=$1.10, 2=$1.22, 3+=$1.36)</t>
  </si>
  <si>
    <t>cl4_cableRate</t>
  </si>
  <si>
    <t>CL4 cable ft (distance × 1.10)</t>
  </si>
  <si>
    <t>cl4_cableFt</t>
  </si>
  <si>
    <t>CL4 run ft (distance × 1.10)</t>
  </si>
  <si>
    <t>cl4_runFt</t>
  </si>
  <si>
    <t>CL4 pathway supports (ceil(runFt/8))</t>
  </si>
  <si>
    <t>cl4_pathwaySupports</t>
  </si>
  <si>
    <t>CL4 penetrations (max(1, ceil(distance/200)))</t>
  </si>
  <si>
    <t>cl4_penetrations</t>
  </si>
  <si>
    <t>— Routing &amp; End-Device Multipliers —</t>
  </si>
  <si>
    <t>Install base mult</t>
  </si>
  <si>
    <t>mult_installBase</t>
  </si>
  <si>
    <t>Indoor sub-mult (only when indoor or mixed)</t>
  </si>
  <si>
    <t>mult_indoor</t>
  </si>
  <si>
    <t>Outdoor sub-mult (only when outdoor or mixed)</t>
  </si>
  <si>
    <t>mult_outdoor</t>
  </si>
  <si>
    <t>AC routing mult (full)</t>
  </si>
  <si>
    <t>mult_acRouting</t>
  </si>
  <si>
    <t>CL2/CL4 routing mult (50% of delta)</t>
  </si>
  <si>
    <t>mult_lvRouting</t>
  </si>
  <si>
    <t>End device mult</t>
  </si>
  <si>
    <t>mult_endDevice</t>
  </si>
  <si>
    <t>AC trench rate $/ft (0 if not outdoor)</t>
  </si>
  <si>
    <t>ac_trenchRate</t>
  </si>
  <si>
    <t>AC trench labor hrs/ft</t>
  </si>
  <si>
    <t>ac_trenchLabor</t>
  </si>
  <si>
    <t>LV trench rate $/ft</t>
  </si>
  <si>
    <t>lv_trenchRate</t>
  </si>
  <si>
    <t>LV trench labor hrs/ft</t>
  </si>
  <si>
    <t>lv_trenchLabor</t>
  </si>
  <si>
    <t>Class 1 AC — Detailed Line Items</t>
  </si>
  <si>
    <t>Active</t>
  </si>
  <si>
    <t>Phase</t>
  </si>
  <si>
    <t>Activity</t>
  </si>
  <si>
    <t>Qty</t>
  </si>
  <si>
    <t>Unit</t>
  </si>
  <si>
    <t>Labor hrs/unit</t>
  </si>
  <si>
    <t>Labor hrs</t>
  </si>
  <si>
    <t>Labor rate</t>
  </si>
  <si>
    <t>Material cost</t>
  </si>
  <si>
    <t>Labor cost</t>
  </si>
  <si>
    <t>Line total</t>
  </si>
  <si>
    <t>1) Design and Engineering</t>
  </si>
  <si>
    <t>Power design package</t>
  </si>
  <si>
    <t>lot</t>
  </si>
  <si>
    <t>Submittals and coordination drawings</t>
  </si>
  <si>
    <t>2) Permitting and Preconstruction</t>
  </si>
  <si>
    <t>Preconstruction survey</t>
  </si>
  <si>
    <t>Permit and inspection coordination</t>
  </si>
  <si>
    <t>AHJ review and plan check period</t>
  </si>
  <si>
    <t>Mobilization and safety plan</t>
  </si>
  <si>
    <t>3) Pathway and Distribution Build</t>
  </si>
  <si>
    <t>Conduit installation</t>
  </si>
  <si>
    <t>Pull boxes and junction boxes</t>
  </si>
  <si>
    <t>ea</t>
  </si>
  <si>
    <t>Core drilling, wall penetrations, firestop</t>
  </si>
  <si>
    <t>Trenching and earthwork</t>
  </si>
  <si>
    <t>Grounding and bonding</t>
  </si>
  <si>
    <t>4) Power Equipment Install</t>
  </si>
  <si>
    <t>Receptacle and device installation (Simple)</t>
  </si>
  <si>
    <t>Breaker installation in existing panel (Standard)</t>
  </si>
  <si>
    <t>Panelboard installation (Full)</t>
  </si>
  <si>
    <t>Transformer installation (Full)</t>
  </si>
  <si>
    <t>Feeder breaker in source gear (Full)</t>
  </si>
  <si>
    <t>5) Cable Installation and Termination</t>
  </si>
  <si>
    <t>Conductor pull</t>
  </si>
  <si>
    <t>Termination and labeling</t>
  </si>
  <si>
    <t>Panel schedules and circuit directories</t>
  </si>
  <si>
    <t>6) Testing and Commissioning</t>
  </si>
  <si>
    <t>Circuit verification and closeout (Simple)</t>
  </si>
  <si>
    <t>Megger and insulation testing</t>
  </si>
  <si>
    <t>Torque verification (Full)</t>
  </si>
  <si>
    <t>Functional performance testing</t>
  </si>
  <si>
    <t>Closeout and owner handoff</t>
  </si>
  <si>
    <t>Punchlist corrections (Full)</t>
  </si>
  <si>
    <t>TOTALS</t>
  </si>
  <si>
    <t>Design hours (phases 1-2)</t>
  </si>
  <si>
    <t>Install hours (phases 3-6)</t>
  </si>
  <si>
    <t>Design days (hours / 8)</t>
  </si>
  <si>
    <t>Install days (hours / 8 / crew)</t>
  </si>
  <si>
    <t>TOTAL DAYS</t>
  </si>
  <si>
    <t>Class 2 DC — Detailed Line Items</t>
  </si>
  <si>
    <t>Low-voltage system design</t>
  </si>
  <si>
    <t>Submittals and procurement</t>
  </si>
  <si>
    <t>AHJ package and plan review</t>
  </si>
  <si>
    <t>J-hook and pathway support installation</t>
  </si>
  <si>
    <t>DC hub deployment</t>
  </si>
  <si>
    <t>PoE injector deployment</t>
  </si>
  <si>
    <t>Class 2 cable pull</t>
  </si>
  <si>
    <t>Termination and connector attachment</t>
  </si>
  <si>
    <t>Cable management and labeling</t>
  </si>
  <si>
    <t>Certification and load testing</t>
  </si>
  <si>
    <t>Functional performance verification</t>
  </si>
  <si>
    <t>Punchlist corrections</t>
  </si>
  <si>
    <t>Class 4 FMP — Detailed Line Items</t>
  </si>
  <si>
    <t>Class 4 system design</t>
  </si>
  <si>
    <t>AHJ package and pathway review</t>
  </si>
  <si>
    <t>CL4 pathway and support installation</t>
  </si>
  <si>
    <t>FMP head-end installation</t>
  </si>
  <si>
    <t>ch</t>
  </si>
  <si>
    <t>FMP receiver hardware deployment</t>
  </si>
  <si>
    <t>CL4 copper cable installation</t>
  </si>
  <si>
    <t>CL4 power-up and fault validation</t>
  </si>
  <si>
    <t>POWER DELIVERY COMPARISON — SUMMARY</t>
  </si>
  <si>
    <t>Inputs:</t>
  </si>
  <si>
    <t>Architecture</t>
  </si>
  <si>
    <t>Total Cost</t>
  </si>
  <si>
    <t>Materials</t>
  </si>
  <si>
    <t>Labor</t>
  </si>
  <si>
    <t>Hours</t>
  </si>
  <si>
    <t>Days</t>
  </si>
  <si>
    <t>Class 1 AC</t>
  </si>
  <si>
    <t>Class 2 DC</t>
  </si>
  <si>
    <t>Class 4 FMP</t>
  </si>
  <si>
    <t>Phase Cost Comparison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</si>
</sst>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11"/>
      <color rgb="FFAFA39C"/>
      <name val="Calibri"/>
      <family val="2"/>
      <scheme val="minor"/>
    </font>
    <font>
      <i/>
      <sz val="11"/>
      <color rgb="FF80726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E760E"/>
        <bgColor indexed="64"/>
      </patternFill>
    </fill>
    <fill>
      <patternFill patternType="solid">
        <fgColor rgb="FFEBE7E5"/>
        <bgColor indexed="64"/>
      </patternFill>
    </fill>
    <fill>
      <patternFill patternType="solid">
        <fgColor rgb="FFE6F7FF"/>
        <bgColor indexed="64"/>
      </patternFill>
    </fill>
    <fill>
      <patternFill patternType="solid">
        <fgColor rgb="FFC7F3F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3" borderId="0" xfId="0" applyFont="1" applyFill="1"/>
    <xf numFmtId="0" fontId="0" fillId="4" borderId="0" xfId="0" applyFill="1"/>
    <xf numFmtId="0" fontId="3" fillId="0" borderId="0" xfId="0" applyFont="1"/>
    <xf numFmtId="0" fontId="1" fillId="0" borderId="0" xfId="0" applyFont="1"/>
    <xf numFmtId="0" fontId="4" fillId="0" borderId="0" xfId="0" applyFont="1"/>
    <xf numFmtId="0" fontId="5" fillId="2" borderId="0" xfId="0" applyFont="1" applyFill="1"/>
    <xf numFmtId="17" fontId="0" fillId="0" borderId="0" xfId="0" applyNumberFormat="1"/>
    <xf numFmtId="0" fontId="6" fillId="2" borderId="0" xfId="0" applyFont="1" applyFill="1"/>
    <xf numFmtId="0" fontId="1" fillId="3" borderId="0" xfId="0" applyFont="1" applyFill="1"/>
    <xf numFmtId="0" fontId="1" fillId="5" borderId="0" xfId="0" applyFont="1" applyFill="1"/>
    <xf numFmtId="164" fontId="0" fillId="0" borderId="0" xfId="0" applyNumberFormat="1"/>
    <xf numFmtId="164" fontId="1" fillId="5" borderId="0" xfId="0" applyNumberFormat="1" applyFont="1" applyFill="1"/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2">
    <dxf>
      <font>
        <color rgb="FF00579C"/>
      </font>
      <fill>
        <patternFill>
          <bgColor rgb="FF9CEBFF"/>
        </patternFill>
      </fill>
    </dxf>
    <dxf>
      <font>
        <color rgb="FF006100"/>
      </font>
      <fill>
        <patternFill>
          <bgColor rgb="FFCEEFC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728663</xdr:colOff>
          <xdr:row>0</xdr:row>
          <xdr:rowOff>123825</xdr:rowOff>
        </xdr:from>
        <xdr:to>
          <xdr:col>5</xdr:col>
          <xdr:colOff>38100</xdr:colOff>
          <xdr:row>2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692F74F-F705-122E-4EC8-119238DD2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0</xdr:row>
          <xdr:rowOff>123825</xdr:rowOff>
        </xdr:from>
        <xdr:to>
          <xdr:col>6</xdr:col>
          <xdr:colOff>600075</xdr:colOff>
          <xdr:row>2</xdr:row>
          <xdr:rowOff>33338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DF0A7C1-4BF5-AFB8-309C-BE7BA3688F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14288</xdr:colOff>
          <xdr:row>0</xdr:row>
          <xdr:rowOff>123825</xdr:rowOff>
        </xdr:from>
        <xdr:to>
          <xdr:col>9</xdr:col>
          <xdr:colOff>114300</xdr:colOff>
          <xdr:row>2</xdr:row>
          <xdr:rowOff>33338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9FB0457-3763-1142-8FEC-CF0FA6A50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4CAE-DB71-4B72-B04A-F778413F0545}">
  <sheetPr codeName="Sheet1"/>
  <dimension ref="A1:F18"/>
  <sheetViews>
    <sheetView tabSelected="1" workbookViewId="0"/>
  </sheetViews>
  <sheetFormatPr defaultRowHeight="14.25" x14ac:dyDescent="0.45"/>
  <cols>
    <col min="1" max="1" width="36.59765625" customWidth="1"/>
    <col min="2" max="4" width="16.59765625" customWidth="1"/>
    <col min="5" max="6" width="12.59765625" customWidth="1"/>
  </cols>
  <sheetData>
    <row r="1" spans="1:6" ht="21" x14ac:dyDescent="0.65">
      <c r="A1" s="16" t="s">
        <v>318</v>
      </c>
      <c r="B1" s="17"/>
      <c r="C1" s="17"/>
      <c r="D1" s="17"/>
      <c r="E1" s="17"/>
      <c r="F1" s="17"/>
    </row>
    <row r="3" spans="1:6" x14ac:dyDescent="0.45">
      <c r="A3" s="7" t="s">
        <v>319</v>
      </c>
      <c r="B3" s="1" t="str">
        <f>"Power: "&amp;powerW&amp;" W | Distance: "&amp;distanceFt&amp;" ft | Crew: "&amp;crewSize&amp;" | Install: "&amp;installType</f>
        <v>Power: 1500 W | Distance: 500 ft | Crew: 3 | Install: indoor</v>
      </c>
      <c r="C3" s="1"/>
      <c r="D3" s="1"/>
      <c r="E3" s="1"/>
      <c r="F3" s="1"/>
    </row>
    <row r="5" spans="1:6" x14ac:dyDescent="0.45">
      <c r="A5" s="12" t="s">
        <v>320</v>
      </c>
      <c r="B5" s="12" t="s">
        <v>321</v>
      </c>
      <c r="C5" s="12" t="s">
        <v>322</v>
      </c>
      <c r="D5" s="12" t="s">
        <v>323</v>
      </c>
      <c r="E5" s="12" t="s">
        <v>324</v>
      </c>
      <c r="F5" s="12" t="s">
        <v>325</v>
      </c>
    </row>
    <row r="6" spans="1:6" x14ac:dyDescent="0.45">
      <c r="A6" t="s">
        <v>326</v>
      </c>
      <c r="B6" s="14">
        <f>AC_Calc_Total</f>
        <v>14123.359500000002</v>
      </c>
      <c r="C6" s="14">
        <f>AC_Calc_Material</f>
        <v>6528</v>
      </c>
      <c r="D6" s="14">
        <f>AC_Calc_Labor</f>
        <v>7595.3594999999987</v>
      </c>
      <c r="E6" s="18">
        <f>AC_Calc_Hours</f>
        <v>291.75</v>
      </c>
      <c r="F6" s="18">
        <f>AC_Calc_TotalDays</f>
        <v>23.90625</v>
      </c>
    </row>
    <row r="7" spans="1:6" x14ac:dyDescent="0.45">
      <c r="A7" t="s">
        <v>327</v>
      </c>
      <c r="B7" s="14">
        <f>CL2_Calc_Total</f>
        <v>12097.090271212119</v>
      </c>
      <c r="C7" s="14">
        <f>CL2_Calc_Material</f>
        <v>9228.5</v>
      </c>
      <c r="D7" s="14">
        <f>CL2_Calc_Labor</f>
        <v>2868.5902712121206</v>
      </c>
      <c r="E7" s="18">
        <f>CL2_Calc_Hours</f>
        <v>76.079393939393938</v>
      </c>
      <c r="F7" s="18">
        <f>CL2_Calc_TotalDays</f>
        <v>5.3713636363636361</v>
      </c>
    </row>
    <row r="8" spans="1:6" x14ac:dyDescent="0.45">
      <c r="A8" t="s">
        <v>328</v>
      </c>
      <c r="B8" s="14">
        <f>CL4_Calc_Total</f>
        <v>11592.944404761904</v>
      </c>
      <c r="C8" s="14">
        <f>CL4_Calc_Material</f>
        <v>9336.5000000000018</v>
      </c>
      <c r="D8" s="14">
        <f>CL4_Calc_Labor</f>
        <v>2256.4444047619045</v>
      </c>
      <c r="E8" s="18">
        <f>CL4_Calc_Hours</f>
        <v>57.311904761904756</v>
      </c>
      <c r="F8" s="18">
        <f>CL4_Calc_TotalDays</f>
        <v>4.1657738095238095</v>
      </c>
    </row>
    <row r="11" spans="1:6" x14ac:dyDescent="0.45">
      <c r="A11" s="4" t="s">
        <v>329</v>
      </c>
      <c r="B11" s="2"/>
      <c r="C11" s="2"/>
      <c r="D11" s="2"/>
      <c r="E11" s="2"/>
      <c r="F11" s="2"/>
    </row>
    <row r="12" spans="1:6" x14ac:dyDescent="0.45">
      <c r="A12" s="7" t="s">
        <v>247</v>
      </c>
      <c r="B12" s="7" t="s">
        <v>326</v>
      </c>
      <c r="C12" s="7" t="s">
        <v>327</v>
      </c>
      <c r="D12" s="7" t="s">
        <v>328</v>
      </c>
    </row>
    <row r="13" spans="1:6" x14ac:dyDescent="0.45">
      <c r="A13" t="s">
        <v>257</v>
      </c>
      <c r="B13" s="14">
        <f>SUMIFS(AC_Calc!K:K,AC_Calc!B:B,A13)</f>
        <v>1074.42</v>
      </c>
      <c r="C13" s="14">
        <f>SUMIFS(CL2_Calc!K:K,CL2_Calc!B:B,A13)</f>
        <v>628.33999999999992</v>
      </c>
      <c r="D13" s="14">
        <f>SUMIFS(CL4_Calc!K:K,CL4_Calc!B:B,A13)</f>
        <v>414.04833333333335</v>
      </c>
    </row>
    <row r="14" spans="1:6" x14ac:dyDescent="0.45">
      <c r="A14" t="s">
        <v>261</v>
      </c>
      <c r="B14" s="14">
        <f>SUMIFS(AC_Calc!K:K,AC_Calc!B:B,A14)</f>
        <v>2197.19</v>
      </c>
      <c r="C14" s="14">
        <f>SUMIFS(CL2_Calc!K:K,CL2_Calc!B:B,A14)</f>
        <v>888.58916666666664</v>
      </c>
      <c r="D14" s="14">
        <f>SUMIFS(CL4_Calc!K:K,CL4_Calc!B:B,A14)</f>
        <v>941.44499999999994</v>
      </c>
    </row>
    <row r="15" spans="1:6" x14ac:dyDescent="0.45">
      <c r="A15" t="s">
        <v>266</v>
      </c>
      <c r="B15" s="14">
        <f>SUMIFS(AC_Calc!K:K,AC_Calc!B:B,A15)</f>
        <v>7382.3155000000006</v>
      </c>
      <c r="C15" s="14">
        <f>SUMIFS(CL2_Calc!K:K,CL2_Calc!B:B,A15)</f>
        <v>724.36895454545459</v>
      </c>
      <c r="D15" s="14">
        <f>SUMIFS(CL4_Calc!K:K,CL4_Calc!B:B,A15)</f>
        <v>614.80207142857148</v>
      </c>
    </row>
    <row r="16" spans="1:6" x14ac:dyDescent="0.45">
      <c r="A16" t="s">
        <v>273</v>
      </c>
      <c r="B16" s="14">
        <f>SUMIFS(AC_Calc!K:K,AC_Calc!B:B,A16)</f>
        <v>135.66300000000001</v>
      </c>
      <c r="C16" s="14">
        <f>SUMIFS(CL2_Calc!K:K,CL2_Calc!B:B,A16)</f>
        <v>5696.0062500000004</v>
      </c>
      <c r="D16" s="14">
        <f>SUMIFS(CL4_Calc!K:K,CL4_Calc!B:B,A16)</f>
        <v>7660.4440000000013</v>
      </c>
    </row>
    <row r="17" spans="1:4" x14ac:dyDescent="0.45">
      <c r="A17" t="s">
        <v>279</v>
      </c>
      <c r="B17" s="14">
        <f>SUMIFS(AC_Calc!K:K,AC_Calc!B:B,A17)</f>
        <v>2593.451</v>
      </c>
      <c r="C17" s="14">
        <f>SUMIFS(CL2_Calc!K:K,CL2_Calc!B:B,A17)</f>
        <v>3505.1583999999998</v>
      </c>
      <c r="D17" s="14">
        <f>SUMIFS(CL4_Calc!K:K,CL4_Calc!B:B,A17)</f>
        <v>1175.441</v>
      </c>
    </row>
    <row r="18" spans="1:4" x14ac:dyDescent="0.45">
      <c r="A18" t="s">
        <v>283</v>
      </c>
      <c r="B18" s="14">
        <f>SUMIFS(AC_Calc!K:K,AC_Calc!B:B,A18)</f>
        <v>740.31999999999994</v>
      </c>
      <c r="C18" s="14">
        <f>SUMIFS(CL2_Calc!K:K,CL2_Calc!B:B,A18)</f>
        <v>654.62750000000005</v>
      </c>
      <c r="D18" s="14">
        <f>SUMIFS(CL4_Calc!K:K,CL4_Calc!B:B,A18)</f>
        <v>786.76400000000012</v>
      </c>
    </row>
  </sheetData>
  <mergeCells count="3">
    <mergeCell ref="A1:F1"/>
    <mergeCell ref="B3:F3"/>
    <mergeCell ref="A11:F11"/>
  </mergeCells>
  <conditionalFormatting sqref="B6:B8">
    <cfRule type="expression" dxfId="1" priority="1" stopIfTrue="1">
      <formula>MIN($B$6:$B$8)</formula>
    </cfRule>
  </conditionalFormatting>
  <conditionalFormatting sqref="F6:F8">
    <cfRule type="expression" dxfId="0" priority="2" stopIfTrue="1">
      <formula>MIN($F$6:$F$8)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PDCM_Macros.Recalculate">
                <anchor moveWithCells="1" sizeWithCells="1">
                  <from>
                    <xdr:col>3</xdr:col>
                    <xdr:colOff>728663</xdr:colOff>
                    <xdr:row>0</xdr:row>
                    <xdr:rowOff>123825</xdr:rowOff>
                  </from>
                  <to>
                    <xdr:col>5</xdr:col>
                    <xdr:colOff>38100</xdr:colOff>
                    <xdr:row>2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PDCM_Macros.ResetInputs">
                <anchor moveWithCells="1" sizeWithCells="1">
                  <from>
                    <xdr:col>5</xdr:col>
                    <xdr:colOff>100013</xdr:colOff>
                    <xdr:row>0</xdr:row>
                    <xdr:rowOff>123825</xdr:rowOff>
                  </from>
                  <to>
                    <xdr:col>6</xdr:col>
                    <xdr:colOff>600075</xdr:colOff>
                    <xdr:row>2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PDCM_Macros.ExportSummaryPDF">
                <anchor moveWithCells="1" sizeWithCells="1">
                  <from>
                    <xdr:col>7</xdr:col>
                    <xdr:colOff>14288</xdr:colOff>
                    <xdr:row>0</xdr:row>
                    <xdr:rowOff>123825</xdr:rowOff>
                  </from>
                  <to>
                    <xdr:col>9</xdr:col>
                    <xdr:colOff>114300</xdr:colOff>
                    <xdr:row>2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088CF-4F36-46B0-BED7-EAEF0E662964}">
  <sheetPr codeName="Sheet2"/>
  <dimension ref="A1:D32"/>
  <sheetViews>
    <sheetView workbookViewId="0"/>
  </sheetViews>
  <sheetFormatPr defaultRowHeight="14.25" x14ac:dyDescent="0.45"/>
  <cols>
    <col min="1" max="1" width="38.59765625" customWidth="1"/>
    <col min="2" max="2" width="16.59765625" customWidth="1"/>
    <col min="3" max="3" width="14.59765625" customWidth="1"/>
    <col min="4" max="4" width="22.59765625" style="6" customWidth="1"/>
  </cols>
  <sheetData>
    <row r="1" spans="1:4" ht="18" x14ac:dyDescent="0.55000000000000004">
      <c r="A1" s="3" t="s">
        <v>0</v>
      </c>
      <c r="B1" s="1"/>
      <c r="C1" s="1"/>
    </row>
    <row r="3" spans="1:4" x14ac:dyDescent="0.45">
      <c r="A3" s="4" t="s">
        <v>1</v>
      </c>
      <c r="B3" s="1"/>
      <c r="C3" s="1"/>
      <c r="D3" s="1"/>
    </row>
    <row r="4" spans="1:4" x14ac:dyDescent="0.45">
      <c r="A4" t="s">
        <v>2</v>
      </c>
      <c r="B4" s="5">
        <v>1500</v>
      </c>
      <c r="C4" t="s">
        <v>3</v>
      </c>
      <c r="D4" s="6" t="s">
        <v>4</v>
      </c>
    </row>
    <row r="5" spans="1:4" x14ac:dyDescent="0.45">
      <c r="A5" t="s">
        <v>5</v>
      </c>
      <c r="B5" s="5">
        <v>500</v>
      </c>
      <c r="C5" t="s">
        <v>6</v>
      </c>
      <c r="D5" s="6" t="s">
        <v>7</v>
      </c>
    </row>
    <row r="6" spans="1:4" x14ac:dyDescent="0.45">
      <c r="A6" t="s">
        <v>8</v>
      </c>
      <c r="B6" s="5">
        <v>3</v>
      </c>
      <c r="C6" t="s">
        <v>9</v>
      </c>
      <c r="D6" s="6" t="s">
        <v>10</v>
      </c>
    </row>
    <row r="7" spans="1:4" x14ac:dyDescent="0.45">
      <c r="A7" t="s">
        <v>11</v>
      </c>
      <c r="B7" s="5">
        <v>0</v>
      </c>
      <c r="C7" t="s">
        <v>12</v>
      </c>
      <c r="D7" s="6" t="s">
        <v>13</v>
      </c>
    </row>
    <row r="9" spans="1:4" x14ac:dyDescent="0.45">
      <c r="A9" s="4" t="s">
        <v>14</v>
      </c>
      <c r="B9" s="1"/>
      <c r="C9" s="1"/>
      <c r="D9" s="1"/>
    </row>
    <row r="10" spans="1:4" x14ac:dyDescent="0.45">
      <c r="A10" t="s">
        <v>15</v>
      </c>
      <c r="B10" s="5" t="s">
        <v>16</v>
      </c>
      <c r="D10" s="6" t="s">
        <v>17</v>
      </c>
    </row>
    <row r="11" spans="1:4" x14ac:dyDescent="0.45">
      <c r="A11" t="s">
        <v>18</v>
      </c>
      <c r="B11" s="5" t="s">
        <v>19</v>
      </c>
      <c r="D11" s="6" t="s">
        <v>20</v>
      </c>
    </row>
    <row r="12" spans="1:4" x14ac:dyDescent="0.45">
      <c r="A12" t="s">
        <v>21</v>
      </c>
      <c r="B12" s="5" t="s">
        <v>22</v>
      </c>
      <c r="D12" s="6" t="s">
        <v>23</v>
      </c>
    </row>
    <row r="13" spans="1:4" x14ac:dyDescent="0.45">
      <c r="A13" t="s">
        <v>24</v>
      </c>
      <c r="B13" s="5" t="s">
        <v>25</v>
      </c>
      <c r="C13" t="s">
        <v>26</v>
      </c>
      <c r="D13" s="6" t="s">
        <v>27</v>
      </c>
    </row>
    <row r="14" spans="1:4" x14ac:dyDescent="0.45">
      <c r="A14" t="s">
        <v>28</v>
      </c>
      <c r="B14" s="5" t="s">
        <v>29</v>
      </c>
      <c r="D14" s="6" t="s">
        <v>30</v>
      </c>
    </row>
    <row r="16" spans="1:4" x14ac:dyDescent="0.45">
      <c r="A16" s="4" t="s">
        <v>31</v>
      </c>
      <c r="B16" s="1"/>
      <c r="C16" s="1"/>
      <c r="D16" s="1"/>
    </row>
    <row r="17" spans="1:4" x14ac:dyDescent="0.45">
      <c r="A17" t="s">
        <v>32</v>
      </c>
      <c r="B17" s="5">
        <v>31.11</v>
      </c>
      <c r="C17" t="s">
        <v>33</v>
      </c>
      <c r="D17" s="6" t="s">
        <v>34</v>
      </c>
    </row>
    <row r="18" spans="1:4" x14ac:dyDescent="0.45">
      <c r="A18" t="s">
        <v>35</v>
      </c>
      <c r="B18" s="5">
        <v>28.51</v>
      </c>
      <c r="C18" t="s">
        <v>33</v>
      </c>
      <c r="D18" s="6" t="s">
        <v>36</v>
      </c>
    </row>
    <row r="19" spans="1:4" x14ac:dyDescent="0.45">
      <c r="A19" t="s">
        <v>37</v>
      </c>
      <c r="B19" s="5">
        <v>51.43</v>
      </c>
      <c r="C19" t="s">
        <v>33</v>
      </c>
      <c r="D19" s="6" t="s">
        <v>38</v>
      </c>
    </row>
    <row r="20" spans="1:4" x14ac:dyDescent="0.45">
      <c r="A20" t="s">
        <v>39</v>
      </c>
      <c r="B20" s="5">
        <v>35.44</v>
      </c>
      <c r="C20" t="s">
        <v>33</v>
      </c>
      <c r="D20" s="6" t="s">
        <v>40</v>
      </c>
    </row>
    <row r="21" spans="1:4" x14ac:dyDescent="0.45">
      <c r="A21" t="s">
        <v>41</v>
      </c>
      <c r="B21" s="5">
        <v>22.47</v>
      </c>
      <c r="C21" t="s">
        <v>33</v>
      </c>
      <c r="D21" s="6" t="s">
        <v>42</v>
      </c>
    </row>
    <row r="22" spans="1:4" x14ac:dyDescent="0.45">
      <c r="A22" t="s">
        <v>43</v>
      </c>
      <c r="B22" s="5">
        <v>0</v>
      </c>
      <c r="C22" t="s">
        <v>33</v>
      </c>
      <c r="D22" s="6" t="s">
        <v>44</v>
      </c>
    </row>
    <row r="24" spans="1:4" x14ac:dyDescent="0.45">
      <c r="A24" s="7" t="s">
        <v>45</v>
      </c>
    </row>
    <row r="25" spans="1:4" x14ac:dyDescent="0.45">
      <c r="A25" s="8" t="s">
        <v>46</v>
      </c>
      <c r="B25" s="1"/>
      <c r="C25" s="1"/>
      <c r="D25" s="1"/>
    </row>
    <row r="26" spans="1:4" x14ac:dyDescent="0.45">
      <c r="A26" s="8" t="s">
        <v>47</v>
      </c>
      <c r="B26" s="1"/>
      <c r="C26" s="1"/>
      <c r="D26" s="1"/>
    </row>
    <row r="27" spans="1:4" x14ac:dyDescent="0.45">
      <c r="A27" s="8" t="s">
        <v>48</v>
      </c>
      <c r="B27" s="1"/>
      <c r="C27" s="1"/>
      <c r="D27" s="1"/>
    </row>
    <row r="28" spans="1:4" x14ac:dyDescent="0.45">
      <c r="A28" s="8" t="s">
        <v>49</v>
      </c>
      <c r="B28" s="1"/>
      <c r="C28" s="1"/>
      <c r="D28" s="1"/>
    </row>
    <row r="29" spans="1:4" x14ac:dyDescent="0.45">
      <c r="A29" s="8" t="s">
        <v>50</v>
      </c>
      <c r="B29" s="1"/>
      <c r="C29" s="1"/>
      <c r="D29" s="1"/>
    </row>
    <row r="30" spans="1:4" x14ac:dyDescent="0.45">
      <c r="A30" s="8" t="s">
        <v>51</v>
      </c>
      <c r="B30" s="1"/>
      <c r="C30" s="1"/>
      <c r="D30" s="1"/>
    </row>
    <row r="31" spans="1:4" x14ac:dyDescent="0.45">
      <c r="A31" s="8" t="s">
        <v>52</v>
      </c>
      <c r="B31" s="1"/>
      <c r="C31" s="1"/>
      <c r="D31" s="1"/>
    </row>
    <row r="32" spans="1:4" x14ac:dyDescent="0.45">
      <c r="A32" s="8" t="s">
        <v>53</v>
      </c>
      <c r="B32" s="1"/>
      <c r="C32" s="1"/>
      <c r="D32" s="1"/>
    </row>
  </sheetData>
  <mergeCells count="12">
    <mergeCell ref="A27:D27"/>
    <mergeCell ref="A28:D28"/>
    <mergeCell ref="A29:D29"/>
    <mergeCell ref="A30:D30"/>
    <mergeCell ref="A31:D31"/>
    <mergeCell ref="A32:D32"/>
    <mergeCell ref="A1:C1"/>
    <mergeCell ref="A3:D3"/>
    <mergeCell ref="A9:D9"/>
    <mergeCell ref="A16:D16"/>
    <mergeCell ref="A25:D25"/>
    <mergeCell ref="A26:D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9152-CFD3-45D6-A5E8-1F37B9F43A35}">
  <sheetPr codeName="Sheet3"/>
  <dimension ref="A1:H61"/>
  <sheetViews>
    <sheetView workbookViewId="0"/>
  </sheetViews>
  <sheetFormatPr defaultRowHeight="14.25" x14ac:dyDescent="0.45"/>
  <cols>
    <col min="1" max="1" width="22.59765625" customWidth="1"/>
    <col min="2" max="2" width="14.59765625" customWidth="1"/>
    <col min="3" max="3" width="16.59765625" customWidth="1"/>
    <col min="4" max="4" width="14.59765625" customWidth="1"/>
    <col min="5" max="5" width="16.59765625" customWidth="1"/>
    <col min="6" max="6" width="22.59765625" customWidth="1"/>
  </cols>
  <sheetData>
    <row r="1" spans="1:8" x14ac:dyDescent="0.45">
      <c r="A1" s="9" t="s">
        <v>54</v>
      </c>
      <c r="B1" s="1"/>
      <c r="C1" s="1"/>
      <c r="D1" s="1"/>
      <c r="E1" s="1"/>
      <c r="F1" s="1"/>
      <c r="G1" s="1"/>
      <c r="H1" s="1"/>
    </row>
    <row r="3" spans="1:8" x14ac:dyDescent="0.45">
      <c r="A3" s="4" t="s">
        <v>55</v>
      </c>
      <c r="B3" s="1"/>
      <c r="C3" s="1"/>
      <c r="D3" s="1"/>
      <c r="E3" s="1"/>
      <c r="F3" s="1"/>
    </row>
    <row r="4" spans="1:8" x14ac:dyDescent="0.45">
      <c r="A4" s="7" t="s">
        <v>56</v>
      </c>
      <c r="B4" s="7" t="s">
        <v>57</v>
      </c>
      <c r="C4" s="7" t="s">
        <v>58</v>
      </c>
      <c r="D4" s="7" t="s">
        <v>59</v>
      </c>
      <c r="E4" s="7" t="s">
        <v>60</v>
      </c>
      <c r="F4" s="7" t="s">
        <v>61</v>
      </c>
    </row>
    <row r="5" spans="1:8" x14ac:dyDescent="0.45">
      <c r="A5">
        <v>500</v>
      </c>
      <c r="B5" t="s">
        <v>62</v>
      </c>
      <c r="C5">
        <v>0.35</v>
      </c>
      <c r="D5" t="s">
        <v>63</v>
      </c>
      <c r="E5">
        <v>0.45</v>
      </c>
      <c r="F5">
        <v>300</v>
      </c>
    </row>
    <row r="6" spans="1:8" x14ac:dyDescent="0.45">
      <c r="A6">
        <v>1500</v>
      </c>
      <c r="B6" t="s">
        <v>63</v>
      </c>
      <c r="C6">
        <v>0.45</v>
      </c>
      <c r="D6" t="s">
        <v>64</v>
      </c>
      <c r="E6">
        <v>0.75</v>
      </c>
      <c r="F6">
        <v>300</v>
      </c>
    </row>
    <row r="7" spans="1:8" x14ac:dyDescent="0.45">
      <c r="A7">
        <v>3000</v>
      </c>
      <c r="B7" t="s">
        <v>64</v>
      </c>
      <c r="C7">
        <v>0.75</v>
      </c>
      <c r="D7" t="s">
        <v>65</v>
      </c>
      <c r="E7">
        <v>1.1000000000000001</v>
      </c>
      <c r="F7">
        <v>300</v>
      </c>
    </row>
    <row r="8" spans="1:8" x14ac:dyDescent="0.45">
      <c r="A8">
        <v>5000</v>
      </c>
      <c r="B8" t="s">
        <v>66</v>
      </c>
      <c r="C8">
        <v>1.65</v>
      </c>
      <c r="D8" t="s">
        <v>66</v>
      </c>
      <c r="E8">
        <v>1.65</v>
      </c>
      <c r="F8">
        <v>300</v>
      </c>
    </row>
    <row r="9" spans="1:8" x14ac:dyDescent="0.45">
      <c r="A9">
        <v>10000</v>
      </c>
      <c r="B9" t="s">
        <v>67</v>
      </c>
      <c r="C9">
        <v>3.2</v>
      </c>
      <c r="D9" t="s">
        <v>67</v>
      </c>
      <c r="E9">
        <v>3.2</v>
      </c>
      <c r="F9">
        <v>300</v>
      </c>
    </row>
    <row r="10" spans="1:8" x14ac:dyDescent="0.45">
      <c r="A10">
        <v>9999999</v>
      </c>
      <c r="B10" s="10">
        <v>36617</v>
      </c>
      <c r="C10">
        <v>5.5</v>
      </c>
      <c r="D10" s="10">
        <v>36617</v>
      </c>
      <c r="E10">
        <v>5.5</v>
      </c>
      <c r="F10">
        <v>300</v>
      </c>
    </row>
    <row r="13" spans="1:8" x14ac:dyDescent="0.45">
      <c r="A13" s="4" t="s">
        <v>68</v>
      </c>
      <c r="B13" s="1"/>
      <c r="C13" s="1"/>
      <c r="D13" s="1"/>
      <c r="E13" s="1"/>
    </row>
    <row r="14" spans="1:8" x14ac:dyDescent="0.45">
      <c r="A14" s="7" t="s">
        <v>56</v>
      </c>
      <c r="B14" s="7" t="s">
        <v>69</v>
      </c>
      <c r="C14" s="7" t="s">
        <v>70</v>
      </c>
      <c r="D14" s="7" t="s">
        <v>71</v>
      </c>
      <c r="E14" s="7" t="s">
        <v>72</v>
      </c>
    </row>
    <row r="15" spans="1:8" x14ac:dyDescent="0.45">
      <c r="A15">
        <v>1000</v>
      </c>
      <c r="B15" t="s">
        <v>73</v>
      </c>
      <c r="C15">
        <v>0.9</v>
      </c>
      <c r="D15">
        <v>0.06</v>
      </c>
      <c r="E15" t="s">
        <v>74</v>
      </c>
    </row>
    <row r="16" spans="1:8" x14ac:dyDescent="0.45">
      <c r="A16">
        <v>2000</v>
      </c>
      <c r="B16" t="s">
        <v>75</v>
      </c>
      <c r="C16">
        <v>1.5</v>
      </c>
      <c r="D16">
        <v>0.08</v>
      </c>
      <c r="E16" t="s">
        <v>74</v>
      </c>
    </row>
    <row r="17" spans="1:5" x14ac:dyDescent="0.45">
      <c r="A17">
        <v>5000</v>
      </c>
      <c r="B17" t="s">
        <v>76</v>
      </c>
      <c r="C17">
        <v>2.5</v>
      </c>
      <c r="D17">
        <v>0.1</v>
      </c>
      <c r="E17" t="s">
        <v>77</v>
      </c>
    </row>
    <row r="18" spans="1:5" x14ac:dyDescent="0.45">
      <c r="A18">
        <v>10000</v>
      </c>
      <c r="B18" t="s">
        <v>25</v>
      </c>
      <c r="C18">
        <v>4.5</v>
      </c>
      <c r="D18">
        <v>0.14000000000000001</v>
      </c>
      <c r="E18" t="s">
        <v>77</v>
      </c>
    </row>
    <row r="19" spans="1:5" x14ac:dyDescent="0.45">
      <c r="A19">
        <v>9999999</v>
      </c>
      <c r="B19" t="s">
        <v>78</v>
      </c>
      <c r="C19">
        <v>18</v>
      </c>
      <c r="D19">
        <v>0.22</v>
      </c>
      <c r="E19" t="s">
        <v>79</v>
      </c>
    </row>
    <row r="22" spans="1:5" x14ac:dyDescent="0.45">
      <c r="A22" s="4" t="s">
        <v>80</v>
      </c>
      <c r="B22" s="1"/>
      <c r="C22" s="1"/>
      <c r="D22" s="1"/>
    </row>
    <row r="23" spans="1:5" x14ac:dyDescent="0.45">
      <c r="A23" s="7" t="s">
        <v>81</v>
      </c>
      <c r="B23" s="7" t="s">
        <v>82</v>
      </c>
      <c r="C23" s="7" t="s">
        <v>83</v>
      </c>
      <c r="D23" s="7" t="s">
        <v>84</v>
      </c>
    </row>
    <row r="24" spans="1:5" x14ac:dyDescent="0.45">
      <c r="A24">
        <v>300</v>
      </c>
      <c r="B24">
        <v>18</v>
      </c>
      <c r="C24">
        <v>0.2</v>
      </c>
      <c r="D24">
        <v>6.3850000000000001E-3</v>
      </c>
    </row>
    <row r="25" spans="1:5" x14ac:dyDescent="0.45">
      <c r="A25">
        <v>550</v>
      </c>
      <c r="B25">
        <v>16</v>
      </c>
      <c r="C25">
        <v>0.33</v>
      </c>
      <c r="D25">
        <v>4.0159999999999996E-3</v>
      </c>
    </row>
    <row r="26" spans="1:5" x14ac:dyDescent="0.45">
      <c r="A26">
        <v>900</v>
      </c>
      <c r="B26">
        <v>14</v>
      </c>
      <c r="C26">
        <v>0.55000000000000004</v>
      </c>
      <c r="D26">
        <v>2.5249999999999999E-3</v>
      </c>
    </row>
    <row r="27" spans="1:5" x14ac:dyDescent="0.45">
      <c r="A27">
        <v>1750</v>
      </c>
      <c r="B27">
        <v>12</v>
      </c>
      <c r="C27">
        <v>0.7</v>
      </c>
      <c r="D27">
        <v>1.588E-3</v>
      </c>
    </row>
    <row r="30" spans="1:5" x14ac:dyDescent="0.45">
      <c r="A30" s="4" t="s">
        <v>85</v>
      </c>
      <c r="B30" s="1"/>
      <c r="C30" s="1"/>
    </row>
    <row r="31" spans="1:5" x14ac:dyDescent="0.45">
      <c r="A31" s="7" t="s">
        <v>86</v>
      </c>
      <c r="B31" s="7" t="s">
        <v>87</v>
      </c>
      <c r="C31" s="7" t="s">
        <v>88</v>
      </c>
    </row>
    <row r="32" spans="1:5" x14ac:dyDescent="0.45">
      <c r="A32" t="s">
        <v>89</v>
      </c>
      <c r="B32">
        <v>1</v>
      </c>
      <c r="C32" t="s">
        <v>90</v>
      </c>
    </row>
    <row r="33" spans="1:3" x14ac:dyDescent="0.45">
      <c r="A33" t="s">
        <v>91</v>
      </c>
      <c r="B33">
        <v>1.35</v>
      </c>
      <c r="C33" t="s">
        <v>92</v>
      </c>
    </row>
    <row r="34" spans="1:3" x14ac:dyDescent="0.45">
      <c r="A34" t="s">
        <v>93</v>
      </c>
      <c r="B34">
        <v>1.1499999999999999</v>
      </c>
      <c r="C34" t="s">
        <v>94</v>
      </c>
    </row>
    <row r="35" spans="1:3" x14ac:dyDescent="0.45">
      <c r="A35" t="s">
        <v>95</v>
      </c>
      <c r="B35">
        <v>1</v>
      </c>
      <c r="C35" t="s">
        <v>96</v>
      </c>
    </row>
    <row r="36" spans="1:3" x14ac:dyDescent="0.45">
      <c r="A36" t="s">
        <v>97</v>
      </c>
      <c r="B36">
        <v>1.2</v>
      </c>
      <c r="C36" t="s">
        <v>98</v>
      </c>
    </row>
    <row r="37" spans="1:3" x14ac:dyDescent="0.45">
      <c r="A37" t="s">
        <v>99</v>
      </c>
      <c r="B37">
        <v>0.85</v>
      </c>
      <c r="C37" t="s">
        <v>100</v>
      </c>
    </row>
    <row r="38" spans="1:3" x14ac:dyDescent="0.45">
      <c r="A38" t="s">
        <v>101</v>
      </c>
      <c r="B38">
        <v>0.9</v>
      </c>
      <c r="C38" t="s">
        <v>102</v>
      </c>
    </row>
    <row r="39" spans="1:3" x14ac:dyDescent="0.45">
      <c r="A39" t="s">
        <v>103</v>
      </c>
      <c r="B39">
        <v>0.8</v>
      </c>
      <c r="C39" t="s">
        <v>104</v>
      </c>
    </row>
    <row r="40" spans="1:3" x14ac:dyDescent="0.45">
      <c r="A40" t="s">
        <v>105</v>
      </c>
      <c r="B40">
        <v>1.05</v>
      </c>
      <c r="C40" t="s">
        <v>106</v>
      </c>
    </row>
    <row r="41" spans="1:3" x14ac:dyDescent="0.45">
      <c r="A41" t="s">
        <v>107</v>
      </c>
      <c r="B41">
        <v>1.08</v>
      </c>
      <c r="C41" t="s">
        <v>108</v>
      </c>
    </row>
    <row r="42" spans="1:3" x14ac:dyDescent="0.45">
      <c r="A42" t="s">
        <v>109</v>
      </c>
      <c r="B42">
        <v>0.95</v>
      </c>
      <c r="C42" t="s">
        <v>110</v>
      </c>
    </row>
    <row r="43" spans="1:3" x14ac:dyDescent="0.45">
      <c r="A43" t="s">
        <v>111</v>
      </c>
      <c r="B43">
        <v>1</v>
      </c>
      <c r="C43" t="s">
        <v>112</v>
      </c>
    </row>
    <row r="44" spans="1:3" x14ac:dyDescent="0.45">
      <c r="A44" t="s">
        <v>113</v>
      </c>
      <c r="B44">
        <v>1.1000000000000001</v>
      </c>
      <c r="C44" t="s">
        <v>114</v>
      </c>
    </row>
    <row r="45" spans="1:3" x14ac:dyDescent="0.45">
      <c r="A45" t="s">
        <v>115</v>
      </c>
      <c r="B45">
        <v>1.1000000000000001</v>
      </c>
      <c r="C45" t="s">
        <v>116</v>
      </c>
    </row>
    <row r="46" spans="1:3" x14ac:dyDescent="0.45">
      <c r="A46" t="s">
        <v>117</v>
      </c>
      <c r="B46">
        <v>1.05</v>
      </c>
      <c r="C46" t="s">
        <v>118</v>
      </c>
    </row>
    <row r="47" spans="1:3" x14ac:dyDescent="0.45">
      <c r="A47" t="s">
        <v>119</v>
      </c>
      <c r="B47">
        <v>1</v>
      </c>
      <c r="C47" t="s">
        <v>120</v>
      </c>
    </row>
    <row r="50" spans="1:3" x14ac:dyDescent="0.45">
      <c r="A50" s="4" t="s">
        <v>121</v>
      </c>
      <c r="B50" s="1"/>
      <c r="C50" s="1"/>
    </row>
    <row r="51" spans="1:3" x14ac:dyDescent="0.45">
      <c r="A51" s="7" t="s">
        <v>122</v>
      </c>
      <c r="B51" s="7" t="s">
        <v>70</v>
      </c>
      <c r="C51" s="7" t="s">
        <v>71</v>
      </c>
    </row>
    <row r="52" spans="1:3" x14ac:dyDescent="0.45">
      <c r="A52" t="s">
        <v>22</v>
      </c>
      <c r="B52">
        <v>12</v>
      </c>
      <c r="C52">
        <v>8.3330000000000001E-3</v>
      </c>
    </row>
    <row r="53" spans="1:3" x14ac:dyDescent="0.45">
      <c r="A53" t="s">
        <v>123</v>
      </c>
      <c r="B53">
        <v>18</v>
      </c>
      <c r="C53">
        <v>1.4999999999999999E-2</v>
      </c>
    </row>
    <row r="54" spans="1:3" x14ac:dyDescent="0.45">
      <c r="A54" t="s">
        <v>124</v>
      </c>
      <c r="B54">
        <v>22</v>
      </c>
      <c r="C54">
        <v>2.5000000000000001E-2</v>
      </c>
    </row>
    <row r="56" spans="1:3" x14ac:dyDescent="0.45">
      <c r="A56" s="4" t="s">
        <v>125</v>
      </c>
      <c r="B56" s="1"/>
      <c r="C56" s="1"/>
    </row>
    <row r="57" spans="1:3" x14ac:dyDescent="0.45">
      <c r="A57" s="7" t="s">
        <v>126</v>
      </c>
      <c r="B57" s="7" t="s">
        <v>70</v>
      </c>
      <c r="C57" s="7" t="s">
        <v>71</v>
      </c>
    </row>
    <row r="58" spans="1:3" x14ac:dyDescent="0.45">
      <c r="A58" t="s">
        <v>22</v>
      </c>
      <c r="B58">
        <v>18</v>
      </c>
      <c r="C58">
        <v>8.3330000000000001E-3</v>
      </c>
    </row>
    <row r="59" spans="1:3" x14ac:dyDescent="0.45">
      <c r="A59" t="s">
        <v>74</v>
      </c>
      <c r="B59">
        <v>25</v>
      </c>
      <c r="C59">
        <v>1.4999999999999999E-2</v>
      </c>
    </row>
    <row r="60" spans="1:3" x14ac:dyDescent="0.45">
      <c r="A60" t="s">
        <v>77</v>
      </c>
      <c r="B60">
        <v>30</v>
      </c>
      <c r="C60">
        <v>2.5000000000000001E-2</v>
      </c>
    </row>
    <row r="61" spans="1:3" x14ac:dyDescent="0.45">
      <c r="A61" t="s">
        <v>79</v>
      </c>
      <c r="B61">
        <v>45</v>
      </c>
      <c r="C61">
        <v>4.1667000000000003E-2</v>
      </c>
    </row>
  </sheetData>
  <mergeCells count="7">
    <mergeCell ref="A56:C56"/>
    <mergeCell ref="A1:H1"/>
    <mergeCell ref="A3:F3"/>
    <mergeCell ref="A13:E13"/>
    <mergeCell ref="A22:D22"/>
    <mergeCell ref="A30:C30"/>
    <mergeCell ref="A50:C5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1DC96-3B69-4FAE-BC51-9A92A5ACE224}">
  <sheetPr codeName="Sheet4"/>
  <dimension ref="A1:C62"/>
  <sheetViews>
    <sheetView workbookViewId="0"/>
  </sheetViews>
  <sheetFormatPr defaultRowHeight="14.25" x14ac:dyDescent="0.45"/>
  <cols>
    <col min="1" max="1" width="56.59765625" customWidth="1"/>
    <col min="2" max="2" width="18.59765625" customWidth="1"/>
    <col min="3" max="3" width="26.59765625" customWidth="1"/>
  </cols>
  <sheetData>
    <row r="1" spans="1:3" x14ac:dyDescent="0.45">
      <c r="A1" s="9" t="s">
        <v>127</v>
      </c>
      <c r="B1" s="1"/>
      <c r="C1" s="1"/>
    </row>
    <row r="3" spans="1:3" x14ac:dyDescent="0.45">
      <c r="A3" t="s">
        <v>128</v>
      </c>
      <c r="B3">
        <f>IF(distanceFt&gt;300,1,0)</f>
        <v>1</v>
      </c>
      <c r="C3" s="6" t="s">
        <v>129</v>
      </c>
    </row>
    <row r="4" spans="1:3" x14ac:dyDescent="0.45">
      <c r="A4" t="s">
        <v>130</v>
      </c>
      <c r="B4" t="str">
        <f>IF(ac_longRun=1,INDEX(LK_ACCable,MATCH(powerW,INDEX(LK_ACCable,0,1),1)+IF(INDEX(LK_ACCable,MATCH(powerW,INDEX(LK_ACCable,0,1),1),1)&lt;powerW,1,0),4),INDEX(LK_ACCable,MATCH(powerW,INDEX(LK_ACCable,0,1),1)+IF(INDEX(LK_ACCable,MATCH(powerW,INDEX(LK_ACCable,0,1),1),1)&lt;powerW,1,0),2))</f>
        <v>#8</v>
      </c>
      <c r="C4" s="6" t="s">
        <v>131</v>
      </c>
    </row>
    <row r="5" spans="1:3" x14ac:dyDescent="0.45">
      <c r="A5" t="s">
        <v>132</v>
      </c>
      <c r="B5">
        <f>IF(ac_longRun=1,INDEX(LK_ACCable,MATCH(powerW,INDEX(LK_ACCable,0,1),1)+IF(INDEX(LK_ACCable,MATCH(powerW,INDEX(LK_ACCable,0,1),1),1)&lt;powerW,1,0),5),INDEX(LK_ACCable,MATCH(powerW,INDEX(LK_ACCable,0,1),1)+IF(INDEX(LK_ACCable,MATCH(powerW,INDEX(LK_ACCable,0,1),1),1)&lt;powerW,1,0),3))</f>
        <v>0.75</v>
      </c>
      <c r="C5" s="6" t="s">
        <v>133</v>
      </c>
    </row>
    <row r="6" spans="1:3" x14ac:dyDescent="0.45">
      <c r="A6" t="s">
        <v>134</v>
      </c>
      <c r="B6" t="str">
        <f>IF(OR(installType="outdoor",installType="mixed"),outdoorConduitSize,"2""")</f>
        <v>2"</v>
      </c>
      <c r="C6" s="6" t="s">
        <v>135</v>
      </c>
    </row>
    <row r="7" spans="1:3" x14ac:dyDescent="0.45">
      <c r="A7" t="s">
        <v>136</v>
      </c>
      <c r="B7">
        <f>MATCH(ac_conduitSize,INDEX(LK_Conduit,0,2),0)</f>
        <v>4</v>
      </c>
      <c r="C7" s="6" t="s">
        <v>137</v>
      </c>
    </row>
    <row r="8" spans="1:3" x14ac:dyDescent="0.45">
      <c r="A8" t="s">
        <v>138</v>
      </c>
      <c r="B8">
        <f>INDEX(LK_Conduit,ac_conduitRow,3)</f>
        <v>4.5</v>
      </c>
      <c r="C8" s="6" t="s">
        <v>139</v>
      </c>
    </row>
    <row r="9" spans="1:3" x14ac:dyDescent="0.45">
      <c r="A9" t="s">
        <v>140</v>
      </c>
      <c r="B9">
        <f>INDEX(LK_Conduit,ac_conduitRow,4)</f>
        <v>0.14000000000000001</v>
      </c>
      <c r="C9" s="6" t="s">
        <v>141</v>
      </c>
    </row>
    <row r="10" spans="1:3" x14ac:dyDescent="0.45">
      <c r="A10" t="s">
        <v>142</v>
      </c>
      <c r="B10" t="str">
        <f>INDEX(LK_Conduit,ac_conduitRow,5)</f>
        <v>2-conduit</v>
      </c>
      <c r="C10" s="6" t="s">
        <v>143</v>
      </c>
    </row>
    <row r="11" spans="1:3" x14ac:dyDescent="0.45">
      <c r="A11" t="s">
        <v>144</v>
      </c>
      <c r="B11">
        <f>IF(powerW&lt;=2000,3,5)</f>
        <v>3</v>
      </c>
      <c r="C11" s="6" t="s">
        <v>145</v>
      </c>
    </row>
    <row r="12" spans="1:3" x14ac:dyDescent="0.45">
      <c r="A12" t="s">
        <v>146</v>
      </c>
      <c r="B12">
        <f>distanceFt*1.15</f>
        <v>575</v>
      </c>
      <c r="C12" s="6" t="s">
        <v>147</v>
      </c>
    </row>
    <row r="13" spans="1:3" x14ac:dyDescent="0.45">
      <c r="A13" t="s">
        <v>148</v>
      </c>
      <c r="B13">
        <f>distanceFt*1.18</f>
        <v>590</v>
      </c>
      <c r="C13" s="6" t="s">
        <v>149</v>
      </c>
    </row>
    <row r="14" spans="1:3" x14ac:dyDescent="0.45">
      <c r="A14" t="s">
        <v>150</v>
      </c>
      <c r="B14">
        <f>MAX(0,CEILING(ac_conduitFt/100,1)-1)</f>
        <v>5</v>
      </c>
      <c r="C14" s="6" t="s">
        <v>151</v>
      </c>
    </row>
    <row r="15" spans="1:3" x14ac:dyDescent="0.45">
      <c r="A15" t="s">
        <v>152</v>
      </c>
      <c r="B15">
        <f>MAX(1,CEILING(distanceFt/150,1))</f>
        <v>4</v>
      </c>
      <c r="C15" s="6" t="s">
        <v>153</v>
      </c>
    </row>
    <row r="16" spans="1:3" x14ac:dyDescent="0.45">
      <c r="A16" t="s">
        <v>154</v>
      </c>
      <c r="B16">
        <f>IF(AND(distanceFt&lt;260,powerW&lt;2000),1,0)</f>
        <v>0</v>
      </c>
      <c r="C16" s="6" t="s">
        <v>155</v>
      </c>
    </row>
    <row r="17" spans="1:3" x14ac:dyDescent="0.45">
      <c r="A17" t="s">
        <v>156</v>
      </c>
      <c r="B17">
        <f>IF(OR(powerW&gt;10000,distanceFt&gt;800),1,0)</f>
        <v>0</v>
      </c>
      <c r="C17" s="6" t="s">
        <v>157</v>
      </c>
    </row>
    <row r="18" spans="1:3" x14ac:dyDescent="0.45">
      <c r="A18" t="s">
        <v>158</v>
      </c>
      <c r="B18">
        <f>IF(conduitOverride&gt;0,1,0)</f>
        <v>0</v>
      </c>
      <c r="C18" s="6" t="s">
        <v>159</v>
      </c>
    </row>
    <row r="19" spans="1:3" x14ac:dyDescent="0.45">
      <c r="A19" t="s">
        <v>160</v>
      </c>
      <c r="B19">
        <f>IF(ac_useOverride=1,conduitOverride,ac_conduitRate)</f>
        <v>4.5</v>
      </c>
      <c r="C19" s="6" t="s">
        <v>161</v>
      </c>
    </row>
    <row r="20" spans="1:3" x14ac:dyDescent="0.45">
      <c r="A20" t="s">
        <v>162</v>
      </c>
      <c r="B20">
        <f>IF(ac_useOverride=1,0,IF(ac_isSimple=1,0.05,ac_conduitLabor))</f>
        <v>0.14000000000000001</v>
      </c>
      <c r="C20" s="6" t="s">
        <v>163</v>
      </c>
    </row>
    <row r="21" spans="1:3" x14ac:dyDescent="0.45">
      <c r="A21" s="7" t="s">
        <v>164</v>
      </c>
    </row>
    <row r="22" spans="1:3" x14ac:dyDescent="0.45">
      <c r="A22" t="s">
        <v>165</v>
      </c>
      <c r="B22">
        <f>MIN(distanceFt,1750)</f>
        <v>500</v>
      </c>
      <c r="C22" s="6" t="s">
        <v>166</v>
      </c>
    </row>
    <row r="23" spans="1:3" x14ac:dyDescent="0.45">
      <c r="A23" t="s">
        <v>167</v>
      </c>
      <c r="B23">
        <f>MATCH(cl2_dist,INDEX(LK_CL2Cable,0,1),1)+IF(INDEX(LK_CL2Cable,MATCH(cl2_dist,INDEX(LK_CL2Cable,0,1),1),1)&lt;cl2_dist,1,0)</f>
        <v>2</v>
      </c>
      <c r="C23" s="6" t="s">
        <v>168</v>
      </c>
    </row>
    <row r="24" spans="1:3" x14ac:dyDescent="0.45">
      <c r="A24" t="s">
        <v>169</v>
      </c>
      <c r="B24">
        <f>INDEX(LK_CL2Cable,cl2_cableRow,2)</f>
        <v>16</v>
      </c>
      <c r="C24" s="6" t="s">
        <v>170</v>
      </c>
    </row>
    <row r="25" spans="1:3" x14ac:dyDescent="0.45">
      <c r="A25" t="s">
        <v>171</v>
      </c>
      <c r="B25">
        <f>INDEX(LK_CL2Cable,cl2_cableRow,3)</f>
        <v>0.33</v>
      </c>
      <c r="C25" s="6" t="s">
        <v>172</v>
      </c>
    </row>
    <row r="26" spans="1:3" x14ac:dyDescent="0.45">
      <c r="A26" t="s">
        <v>173</v>
      </c>
      <c r="B26">
        <f>INDEX(LK_CL2Cable,cl2_cableRow,4)</f>
        <v>4.0159999999999996E-3</v>
      </c>
      <c r="C26" s="6" t="s">
        <v>174</v>
      </c>
    </row>
    <row r="27" spans="1:3" x14ac:dyDescent="0.45">
      <c r="A27" t="s">
        <v>175</v>
      </c>
      <c r="B27">
        <f>MAX(1,CEILING(powerW/100,1))</f>
        <v>15</v>
      </c>
      <c r="C27" s="6" t="s">
        <v>176</v>
      </c>
    </row>
    <row r="28" spans="1:3" x14ac:dyDescent="0.45">
      <c r="A28" t="s">
        <v>177</v>
      </c>
      <c r="B28">
        <f>cl2_pairs*2</f>
        <v>30</v>
      </c>
      <c r="C28" s="6" t="s">
        <v>178</v>
      </c>
    </row>
    <row r="29" spans="1:3" x14ac:dyDescent="0.45">
      <c r="A29" t="s">
        <v>179</v>
      </c>
      <c r="B29">
        <f>CEILING(cl2_conductors/8,1)</f>
        <v>4</v>
      </c>
      <c r="C29" s="6" t="s">
        <v>180</v>
      </c>
    </row>
    <row r="30" spans="1:3" x14ac:dyDescent="0.45">
      <c r="A30" t="s">
        <v>181</v>
      </c>
      <c r="B30">
        <f>cl2_conductors/cl2_pullGroups</f>
        <v>7.5</v>
      </c>
      <c r="C30" s="6" t="s">
        <v>182</v>
      </c>
    </row>
    <row r="31" spans="1:3" x14ac:dyDescent="0.45">
      <c r="A31" t="s">
        <v>183</v>
      </c>
      <c r="B31">
        <f>MAX(0.55,1-(cl2_avgPerPull-1)*0.057)</f>
        <v>0.62949999999999995</v>
      </c>
      <c r="C31" s="6" t="s">
        <v>184</v>
      </c>
    </row>
    <row r="32" spans="1:3" x14ac:dyDescent="0.45">
      <c r="A32" t="s">
        <v>185</v>
      </c>
      <c r="B32">
        <f>(1/110)*cl2_pullEff</f>
        <v>5.7227272727272717E-3</v>
      </c>
      <c r="C32" s="6" t="s">
        <v>186</v>
      </c>
    </row>
    <row r="33" spans="1:3" x14ac:dyDescent="0.45">
      <c r="A33" t="s">
        <v>187</v>
      </c>
      <c r="B33">
        <f>cl2_dist*1.05</f>
        <v>525</v>
      </c>
      <c r="C33" s="6" t="s">
        <v>188</v>
      </c>
    </row>
    <row r="34" spans="1:3" x14ac:dyDescent="0.45">
      <c r="A34" t="s">
        <v>189</v>
      </c>
      <c r="B34">
        <f>cl2_pairs*cl2_dist*1.1</f>
        <v>8250</v>
      </c>
      <c r="C34" s="6" t="s">
        <v>190</v>
      </c>
    </row>
    <row r="35" spans="1:3" x14ac:dyDescent="0.45">
      <c r="A35" t="s">
        <v>191</v>
      </c>
      <c r="B35">
        <f>cl2_pullGroups*cl2_dist*1.1*cl2_laborPerFtGroup</f>
        <v>12.589999999999998</v>
      </c>
      <c r="C35" s="6" t="s">
        <v>192</v>
      </c>
    </row>
    <row r="36" spans="1:3" x14ac:dyDescent="0.45">
      <c r="A36" t="s">
        <v>193</v>
      </c>
      <c r="B36">
        <f>MAX(1,CEILING(powerW/300,1))</f>
        <v>5</v>
      </c>
      <c r="C36" s="6" t="s">
        <v>194</v>
      </c>
    </row>
    <row r="37" spans="1:3" x14ac:dyDescent="0.45">
      <c r="A37" t="s">
        <v>195</v>
      </c>
      <c r="B37">
        <f>CEILING(cl2_pathwayFt/6,1)</f>
        <v>88</v>
      </c>
      <c r="C37" s="6" t="s">
        <v>196</v>
      </c>
    </row>
    <row r="38" spans="1:3" x14ac:dyDescent="0.45">
      <c r="A38" t="s">
        <v>197</v>
      </c>
      <c r="B38">
        <f>MAX(1,CEILING(cl2_dist/200,1))</f>
        <v>3</v>
      </c>
      <c r="C38" s="6" t="s">
        <v>198</v>
      </c>
    </row>
    <row r="39" spans="1:3" x14ac:dyDescent="0.45">
      <c r="A39" s="7" t="s">
        <v>199</v>
      </c>
    </row>
    <row r="40" spans="1:3" x14ac:dyDescent="0.45">
      <c r="A40" t="s">
        <v>200</v>
      </c>
      <c r="B40">
        <f>2.8*2*0.004016*distanceFt</f>
        <v>11.244799999999998</v>
      </c>
      <c r="C40" s="6" t="s">
        <v>201</v>
      </c>
    </row>
    <row r="41" spans="1:3" x14ac:dyDescent="0.45">
      <c r="A41" t="s">
        <v>202</v>
      </c>
      <c r="B41">
        <f>MAX(450*0.8,450-cl4_vdrop)</f>
        <v>438.7552</v>
      </c>
      <c r="C41" s="6" t="s">
        <v>203</v>
      </c>
    </row>
    <row r="42" spans="1:3" x14ac:dyDescent="0.45">
      <c r="A42" t="s">
        <v>204</v>
      </c>
      <c r="B42">
        <f>cl4_veff*2.8*0.92</f>
        <v>1130.2333951999999</v>
      </c>
      <c r="C42" s="6" t="s">
        <v>205</v>
      </c>
    </row>
    <row r="43" spans="1:3" x14ac:dyDescent="0.45">
      <c r="A43" t="s">
        <v>206</v>
      </c>
      <c r="B43">
        <f>MAX(1,CEILING(powerW/cl4_wattsPerPair,1))</f>
        <v>2</v>
      </c>
      <c r="C43" s="6" t="s">
        <v>207</v>
      </c>
    </row>
    <row r="44" spans="1:3" x14ac:dyDescent="0.45">
      <c r="A44" t="s">
        <v>208</v>
      </c>
      <c r="B44">
        <f>cl4_pairs*2</f>
        <v>4</v>
      </c>
      <c r="C44" s="6" t="s">
        <v>209</v>
      </c>
    </row>
    <row r="45" spans="1:3" x14ac:dyDescent="0.45">
      <c r="A45" t="s">
        <v>210</v>
      </c>
      <c r="B45">
        <f>MAX(1,CEILING(powerW/1300,1))</f>
        <v>2</v>
      </c>
      <c r="C45" s="6" t="s">
        <v>211</v>
      </c>
    </row>
    <row r="46" spans="1:3" x14ac:dyDescent="0.45">
      <c r="A46" t="s">
        <v>212</v>
      </c>
      <c r="B46">
        <f>MAX(1,CEILING(powerW/1500,1))</f>
        <v>1</v>
      </c>
      <c r="C46" s="6" t="s">
        <v>213</v>
      </c>
    </row>
    <row r="47" spans="1:3" x14ac:dyDescent="0.45">
      <c r="A47" t="s">
        <v>214</v>
      </c>
      <c r="B47">
        <f>IF(cl4_pairs&lt;=1,1.1,IF(cl4_pairs&lt;=2,1.22,1.36))</f>
        <v>1.22</v>
      </c>
      <c r="C47" s="6" t="s">
        <v>215</v>
      </c>
    </row>
    <row r="48" spans="1:3" x14ac:dyDescent="0.45">
      <c r="A48" t="s">
        <v>216</v>
      </c>
      <c r="B48">
        <f>distanceFt*1.1</f>
        <v>550</v>
      </c>
      <c r="C48" s="6" t="s">
        <v>217</v>
      </c>
    </row>
    <row r="49" spans="1:3" x14ac:dyDescent="0.45">
      <c r="A49" t="s">
        <v>218</v>
      </c>
      <c r="B49">
        <f>distanceFt*1.1</f>
        <v>550</v>
      </c>
      <c r="C49" s="6" t="s">
        <v>219</v>
      </c>
    </row>
    <row r="50" spans="1:3" x14ac:dyDescent="0.45">
      <c r="A50" t="s">
        <v>220</v>
      </c>
      <c r="B50">
        <f>CEILING(cl4_runFt/8,1)</f>
        <v>69</v>
      </c>
      <c r="C50" s="6" t="s">
        <v>221</v>
      </c>
    </row>
    <row r="51" spans="1:3" x14ac:dyDescent="0.45">
      <c r="A51" t="s">
        <v>222</v>
      </c>
      <c r="B51">
        <f>MAX(1,CEILING(distanceFt/200,1))</f>
        <v>3</v>
      </c>
      <c r="C51" s="6" t="s">
        <v>223</v>
      </c>
    </row>
    <row r="52" spans="1:3" x14ac:dyDescent="0.45">
      <c r="A52" s="7" t="s">
        <v>224</v>
      </c>
    </row>
    <row r="53" spans="1:3" x14ac:dyDescent="0.45">
      <c r="A53" t="s">
        <v>225</v>
      </c>
      <c r="B53">
        <f>VLOOKUP("install_"&amp;installType,LK_Mults,2,FALSE)</f>
        <v>1</v>
      </c>
      <c r="C53" s="6" t="s">
        <v>226</v>
      </c>
    </row>
    <row r="54" spans="1:3" x14ac:dyDescent="0.45">
      <c r="A54" t="s">
        <v>227</v>
      </c>
      <c r="B54">
        <f>IF(OR(installType="indoor",installType="mixed"),VLOOKUP("ind_"&amp;inBuildingType,LK_Mults,2,FALSE),1)</f>
        <v>1</v>
      </c>
      <c r="C54" s="6" t="s">
        <v>228</v>
      </c>
    </row>
    <row r="55" spans="1:3" x14ac:dyDescent="0.45">
      <c r="A55" t="s">
        <v>229</v>
      </c>
      <c r="B55">
        <f>IF(OR(installType="outdoor",installType="mixed"),VLOOKUP("out_"&amp;outdoorType,LK_Mults,2,FALSE),1)</f>
        <v>1</v>
      </c>
      <c r="C55" s="6" t="s">
        <v>230</v>
      </c>
    </row>
    <row r="56" spans="1:3" x14ac:dyDescent="0.45">
      <c r="A56" t="s">
        <v>231</v>
      </c>
      <c r="B56">
        <f>mult_installBase*mult_indoor*mult_outdoor</f>
        <v>1</v>
      </c>
      <c r="C56" s="6" t="s">
        <v>232</v>
      </c>
    </row>
    <row r="57" spans="1:3" x14ac:dyDescent="0.45">
      <c r="A57" t="s">
        <v>233</v>
      </c>
      <c r="B57">
        <f>1+(mult_acRouting-1)*0.5</f>
        <v>1</v>
      </c>
      <c r="C57" s="6" t="s">
        <v>234</v>
      </c>
    </row>
    <row r="58" spans="1:3" x14ac:dyDescent="0.45">
      <c r="A58" t="s">
        <v>235</v>
      </c>
      <c r="B58">
        <f>VLOOKUP("end_"&amp;endDevice,LK_Mults,2,FALSE)</f>
        <v>1.1000000000000001</v>
      </c>
      <c r="C58" s="6" t="s">
        <v>236</v>
      </c>
    </row>
    <row r="59" spans="1:3" x14ac:dyDescent="0.45">
      <c r="A59" t="s">
        <v>237</v>
      </c>
      <c r="B59">
        <f>IF(AND(OR(installType="outdoor",installType="mixed"),OR(outdoorType="direct-bury",outdoorType="conduit-bury",outdoorType="underground-duct")),IF(outdoorType="direct-bury",VLOOKUP("direct-bury",LK_PwrTrench,2,FALSE),VLOOKUP(ac_trenchKey,LK_PwrTrench,2,FALSE)),0)</f>
        <v>0</v>
      </c>
      <c r="C59" s="6" t="s">
        <v>238</v>
      </c>
    </row>
    <row r="60" spans="1:3" x14ac:dyDescent="0.45">
      <c r="A60" t="s">
        <v>239</v>
      </c>
      <c r="B60">
        <f>IF(AND(OR(installType="outdoor",installType="mixed"),OR(outdoorType="direct-bury",outdoorType="conduit-bury",outdoorType="underground-duct")),IF(outdoorType="direct-bury",VLOOKUP("direct-bury",LK_PwrTrench,3,FALSE),VLOOKUP(ac_trenchKey,LK_PwrTrench,3,FALSE)),0)</f>
        <v>0</v>
      </c>
      <c r="C60" s="6" t="s">
        <v>240</v>
      </c>
    </row>
    <row r="61" spans="1:3" x14ac:dyDescent="0.45">
      <c r="A61" t="s">
        <v>241</v>
      </c>
      <c r="B61">
        <f>IF(AND(OR(installType="outdoor",installType="mixed"),OR(outdoorType="direct-bury",outdoorType="conduit-bury",outdoorType="underground-duct")),VLOOKUP(outdoorType,LK_LVTrench,2,FALSE),0)</f>
        <v>0</v>
      </c>
      <c r="C61" s="6" t="s">
        <v>242</v>
      </c>
    </row>
    <row r="62" spans="1:3" x14ac:dyDescent="0.45">
      <c r="A62" t="s">
        <v>243</v>
      </c>
      <c r="B62">
        <f>IF(AND(OR(installType="outdoor",installType="mixed"),OR(outdoorType="direct-bury",outdoorType="conduit-bury",outdoorType="underground-duct")),VLOOKUP(outdoorType,LK_LVTrench,3,FALSE),0)</f>
        <v>0</v>
      </c>
      <c r="C62" s="6" t="s">
        <v>244</v>
      </c>
    </row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5A25C-5880-409C-BC92-AA9024391079}">
  <sheetPr codeName="Sheet5"/>
  <dimension ref="A1:K36"/>
  <sheetViews>
    <sheetView workbookViewId="0"/>
  </sheetViews>
  <sheetFormatPr defaultRowHeight="14.25" x14ac:dyDescent="0.45"/>
  <cols>
    <col min="1" max="1" width="7.59765625" customWidth="1"/>
    <col min="2" max="2" width="32.59765625" customWidth="1"/>
    <col min="3" max="3" width="42.59765625" customWidth="1"/>
    <col min="4" max="4" width="11.59765625" customWidth="1"/>
    <col min="5" max="5" width="7.59765625" customWidth="1"/>
    <col min="6" max="6" width="13.59765625" customWidth="1"/>
    <col min="7" max="8" width="11.59765625" customWidth="1"/>
    <col min="9" max="11" width="14.59765625" customWidth="1"/>
  </cols>
  <sheetData>
    <row r="1" spans="1:11" ht="16.899999999999999" x14ac:dyDescent="0.5">
      <c r="A1" s="11" t="s">
        <v>245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x14ac:dyDescent="0.45">
      <c r="A3" s="12" t="s">
        <v>246</v>
      </c>
      <c r="B3" s="12" t="s">
        <v>247</v>
      </c>
      <c r="C3" s="12" t="s">
        <v>248</v>
      </c>
      <c r="D3" s="12" t="s">
        <v>249</v>
      </c>
      <c r="E3" s="12" t="s">
        <v>250</v>
      </c>
      <c r="F3" s="12" t="s">
        <v>251</v>
      </c>
      <c r="G3" s="12" t="s">
        <v>252</v>
      </c>
      <c r="H3" s="12" t="s">
        <v>253</v>
      </c>
      <c r="I3" s="12" t="s">
        <v>254</v>
      </c>
      <c r="J3" s="12" t="s">
        <v>255</v>
      </c>
      <c r="K3" s="12" t="s">
        <v>256</v>
      </c>
    </row>
    <row r="4" spans="1:11" x14ac:dyDescent="0.45">
      <c r="A4">
        <f>1</f>
        <v>1</v>
      </c>
      <c r="B4" t="s">
        <v>257</v>
      </c>
      <c r="C4" t="s">
        <v>258</v>
      </c>
      <c r="D4">
        <f>1</f>
        <v>1</v>
      </c>
      <c r="E4" t="s">
        <v>259</v>
      </c>
      <c r="F4">
        <f>IF(ac_isSimple=1,12,MAX(14,6+distanceFt/500+powerW/1800))</f>
        <v>14</v>
      </c>
      <c r="G4">
        <f>A4*D4*F4</f>
        <v>14</v>
      </c>
      <c r="H4" s="14">
        <f>rateDesign</f>
        <v>51.43</v>
      </c>
      <c r="I4" s="14">
        <f>A4*0*0*IF(OR(LEFT(B4,2)="3)",LEFT(B4,2)="5)"),mult_acRouting,IF(LEFT(B4,2)="4)",mult_endDevice,1))</f>
        <v>0</v>
      </c>
      <c r="J4" s="14">
        <f>A4*G4*H4*IF(OR(LEFT(B4,2)="3)",LEFT(B4,2)="5)"),mult_acRouting,IF(LEFT(B4,2)="4)",mult_endDevice,1))</f>
        <v>720.02</v>
      </c>
      <c r="K4" s="14">
        <f>I4+J4</f>
        <v>720.02</v>
      </c>
    </row>
    <row r="5" spans="1:11" x14ac:dyDescent="0.45">
      <c r="A5">
        <f>IF(ac_isSimple=1,0,1)</f>
        <v>1</v>
      </c>
      <c r="B5" t="s">
        <v>257</v>
      </c>
      <c r="C5" t="s">
        <v>260</v>
      </c>
      <c r="D5">
        <f>1</f>
        <v>1</v>
      </c>
      <c r="E5" t="s">
        <v>259</v>
      </c>
      <c r="F5">
        <f>IF(ac_isFull=1,12,10)</f>
        <v>10</v>
      </c>
      <c r="G5">
        <f>A5*D5*F5</f>
        <v>10</v>
      </c>
      <c r="H5" s="14">
        <f>rateDesigner</f>
        <v>35.44</v>
      </c>
      <c r="I5" s="14">
        <f>A5*0*0*IF(OR(LEFT(B5,2)="3)",LEFT(B5,2)="5)"),mult_acRouting,IF(LEFT(B5,2)="4)",mult_endDevice,1))</f>
        <v>0</v>
      </c>
      <c r="J5" s="14">
        <f>A5*G5*H5*IF(OR(LEFT(B5,2)="3)",LEFT(B5,2)="5)"),mult_acRouting,IF(LEFT(B5,2)="4)",mult_endDevice,1))</f>
        <v>354.4</v>
      </c>
      <c r="K5" s="14">
        <f>I5+J5</f>
        <v>354.4</v>
      </c>
    </row>
    <row r="6" spans="1:11" x14ac:dyDescent="0.45">
      <c r="A6">
        <f>1</f>
        <v>1</v>
      </c>
      <c r="B6" t="s">
        <v>261</v>
      </c>
      <c r="C6" t="s">
        <v>262</v>
      </c>
      <c r="D6">
        <f>1</f>
        <v>1</v>
      </c>
      <c r="E6" t="s">
        <v>259</v>
      </c>
      <c r="F6">
        <f>5</f>
        <v>5</v>
      </c>
      <c r="G6">
        <f>A6*D6*F6</f>
        <v>5</v>
      </c>
      <c r="H6" s="14">
        <f>rateDesign</f>
        <v>51.43</v>
      </c>
      <c r="I6" s="14">
        <f>A6*0*0*IF(OR(LEFT(B6,2)="3)",LEFT(B6,2)="5)"),mult_acRouting,IF(LEFT(B6,2)="4)",mult_endDevice,1))</f>
        <v>0</v>
      </c>
      <c r="J6" s="14">
        <f>A6*G6*H6*IF(OR(LEFT(B6,2)="3)",LEFT(B6,2)="5)"),mult_acRouting,IF(LEFT(B6,2)="4)",mult_endDevice,1))</f>
        <v>257.14999999999998</v>
      </c>
      <c r="K6" s="14">
        <f>I6+J6</f>
        <v>257.14999999999998</v>
      </c>
    </row>
    <row r="7" spans="1:11" x14ac:dyDescent="0.45">
      <c r="A7">
        <f>1</f>
        <v>1</v>
      </c>
      <c r="B7" t="s">
        <v>261</v>
      </c>
      <c r="C7" t="s">
        <v>263</v>
      </c>
      <c r="D7">
        <f>1</f>
        <v>1</v>
      </c>
      <c r="E7" t="s">
        <v>259</v>
      </c>
      <c r="F7">
        <f>IF(ac_isSimple=1,8,MAX(16,8+distanceFt/1000))</f>
        <v>16</v>
      </c>
      <c r="G7">
        <f>A7*D7*F7</f>
        <v>16</v>
      </c>
      <c r="H7" s="14">
        <f>rateDesign</f>
        <v>51.43</v>
      </c>
      <c r="I7" s="14">
        <f>A7*IF(ac_isSimple=1,150,500)*1*IF(OR(LEFT(B7,2)="3)",LEFT(B7,2)="5)"),mult_acRouting,IF(LEFT(B7,2)="4)",mult_endDevice,1))</f>
        <v>500</v>
      </c>
      <c r="J7" s="14">
        <f>A7*G7*H7*IF(OR(LEFT(B7,2)="3)",LEFT(B7,2)="5)"),mult_acRouting,IF(LEFT(B7,2)="4)",mult_endDevice,1))</f>
        <v>822.88</v>
      </c>
      <c r="K7" s="14">
        <f>I7+J7</f>
        <v>1322.88</v>
      </c>
    </row>
    <row r="8" spans="1:11" x14ac:dyDescent="0.45">
      <c r="A8">
        <f>IF(ac_isSimple=1,0,1)</f>
        <v>1</v>
      </c>
      <c r="B8" t="s">
        <v>261</v>
      </c>
      <c r="C8" t="s">
        <v>264</v>
      </c>
      <c r="D8">
        <f>1</f>
        <v>1</v>
      </c>
      <c r="E8" t="s">
        <v>259</v>
      </c>
      <c r="F8">
        <f>MAX(84,60+distanceFt/500)</f>
        <v>84</v>
      </c>
      <c r="G8">
        <f>A8*D8*F8</f>
        <v>84</v>
      </c>
      <c r="H8" s="14">
        <f>rateWait</f>
        <v>0</v>
      </c>
      <c r="I8" s="14">
        <f>A8*0*0*IF(OR(LEFT(B8,2)="3)",LEFT(B8,2)="5)"),mult_acRouting,IF(LEFT(B8,2)="4)",mult_endDevice,1))</f>
        <v>0</v>
      </c>
      <c r="J8" s="14">
        <f>A8*G8*H8*IF(OR(LEFT(B8,2)="3)",LEFT(B8,2)="5)"),mult_acRouting,IF(LEFT(B8,2)="4)",mult_endDevice,1))</f>
        <v>0</v>
      </c>
      <c r="K8" s="14">
        <f>I8+J8</f>
        <v>0</v>
      </c>
    </row>
    <row r="9" spans="1:11" x14ac:dyDescent="0.45">
      <c r="A9">
        <f>IF(ac_isSimple=1,0,1)</f>
        <v>1</v>
      </c>
      <c r="B9" t="s">
        <v>261</v>
      </c>
      <c r="C9" t="s">
        <v>265</v>
      </c>
      <c r="D9">
        <f>1</f>
        <v>1</v>
      </c>
      <c r="E9" t="s">
        <v>259</v>
      </c>
      <c r="F9">
        <f>IF(ac_isFull=1,16,12)</f>
        <v>12</v>
      </c>
      <c r="G9">
        <f>A9*D9*F9</f>
        <v>12</v>
      </c>
      <c r="H9" s="14">
        <f>rateDesign</f>
        <v>51.43</v>
      </c>
      <c r="I9" s="14">
        <f>A9*0*0*IF(OR(LEFT(B9,2)="3)",LEFT(B9,2)="5)"),mult_acRouting,IF(LEFT(B9,2)="4)",mult_endDevice,1))</f>
        <v>0</v>
      </c>
      <c r="J9" s="14">
        <f>A9*G9*H9*IF(OR(LEFT(B9,2)="3)",LEFT(B9,2)="5)"),mult_acRouting,IF(LEFT(B9,2)="4)",mult_endDevice,1))</f>
        <v>617.16</v>
      </c>
      <c r="K9" s="14">
        <f>I9+J9</f>
        <v>617.16</v>
      </c>
    </row>
    <row r="10" spans="1:11" x14ac:dyDescent="0.45">
      <c r="A10">
        <f>1</f>
        <v>1</v>
      </c>
      <c r="B10" t="s">
        <v>266</v>
      </c>
      <c r="C10" t="s">
        <v>267</v>
      </c>
      <c r="D10">
        <f>ac_conduitFt</f>
        <v>575</v>
      </c>
      <c r="E10" t="s">
        <v>6</v>
      </c>
      <c r="F10">
        <f>ac_effConduitLabor</f>
        <v>0.14000000000000001</v>
      </c>
      <c r="G10">
        <f>A10*D10*F10</f>
        <v>80.500000000000014</v>
      </c>
      <c r="H10" s="14">
        <f>rateElectrician</f>
        <v>31.11</v>
      </c>
      <c r="I10" s="14">
        <f>A10*ac_effConduitRate*ac_conduitFt*IF(OR(LEFT(B10,2)="3)",LEFT(B10,2)="5)"),mult_acRouting,IF(LEFT(B10,2)="4)",mult_endDevice,1))</f>
        <v>2587.5</v>
      </c>
      <c r="J10" s="14">
        <f>A10*G10*H10*IF(OR(LEFT(B10,2)="3)",LEFT(B10,2)="5)"),mult_acRouting,IF(LEFT(B10,2)="4)",mult_endDevice,1))</f>
        <v>2504.3550000000005</v>
      </c>
      <c r="K10" s="14">
        <f>I10+J10</f>
        <v>5091.8550000000005</v>
      </c>
    </row>
    <row r="11" spans="1:11" x14ac:dyDescent="0.45">
      <c r="A11">
        <f>IF(ac_pullBoxQty&gt;0,1,0)</f>
        <v>1</v>
      </c>
      <c r="B11" t="s">
        <v>266</v>
      </c>
      <c r="C11" t="s">
        <v>268</v>
      </c>
      <c r="D11">
        <f>ac_pullBoxQty</f>
        <v>5</v>
      </c>
      <c r="E11" t="s">
        <v>269</v>
      </c>
      <c r="F11">
        <f>1.75</f>
        <v>1.75</v>
      </c>
      <c r="G11">
        <f>A11*D11*F11</f>
        <v>8.75</v>
      </c>
      <c r="H11" s="14">
        <f>rateElectrician</f>
        <v>31.11</v>
      </c>
      <c r="I11" s="14">
        <f>A11*250*ac_pullBoxQty*IF(OR(LEFT(B11,2)="3)",LEFT(B11,2)="5)"),mult_acRouting,IF(LEFT(B11,2)="4)",mult_endDevice,1))</f>
        <v>1250</v>
      </c>
      <c r="J11" s="14">
        <f>A11*G11*H11*IF(OR(LEFT(B11,2)="3)",LEFT(B11,2)="5)"),mult_acRouting,IF(LEFT(B11,2)="4)",mult_endDevice,1))</f>
        <v>272.21249999999998</v>
      </c>
      <c r="K11" s="14">
        <f>I11+J11</f>
        <v>1522.2125000000001</v>
      </c>
    </row>
    <row r="12" spans="1:11" x14ac:dyDescent="0.45">
      <c r="A12">
        <f>IF(ac_isSimple=1,0,1)</f>
        <v>1</v>
      </c>
      <c r="B12" t="s">
        <v>266</v>
      </c>
      <c r="C12" t="s">
        <v>270</v>
      </c>
      <c r="D12">
        <f>ac_coreDrillQty</f>
        <v>4</v>
      </c>
      <c r="E12" t="s">
        <v>269</v>
      </c>
      <c r="F12">
        <f>1.6</f>
        <v>1.6</v>
      </c>
      <c r="G12">
        <f>A12*D12*F12</f>
        <v>6.4</v>
      </c>
      <c r="H12" s="14">
        <f>rateLaborer</f>
        <v>22.47</v>
      </c>
      <c r="I12" s="14">
        <f>A12*75*ac_coreDrillQty*IF(OR(LEFT(B12,2)="3)",LEFT(B12,2)="5)"),mult_acRouting,IF(LEFT(B12,2)="4)",mult_endDevice,1))</f>
        <v>300</v>
      </c>
      <c r="J12" s="14">
        <f>A12*G12*H12*IF(OR(LEFT(B12,2)="3)",LEFT(B12,2)="5)"),mult_acRouting,IF(LEFT(B12,2)="4)",mult_endDevice,1))</f>
        <v>143.80799999999999</v>
      </c>
      <c r="K12" s="14">
        <f>I12+J12</f>
        <v>443.80799999999999</v>
      </c>
    </row>
    <row r="13" spans="1:11" x14ac:dyDescent="0.45">
      <c r="A13">
        <f>IF(ac_trenchRate&gt;0,1,0)</f>
        <v>0</v>
      </c>
      <c r="B13" t="s">
        <v>266</v>
      </c>
      <c r="C13" t="s">
        <v>271</v>
      </c>
      <c r="D13">
        <f>ac_conduitFt</f>
        <v>575</v>
      </c>
      <c r="E13" t="s">
        <v>6</v>
      </c>
      <c r="F13">
        <f>ac_trenchLabor</f>
        <v>0</v>
      </c>
      <c r="G13">
        <f>A13*D13*F13</f>
        <v>0</v>
      </c>
      <c r="H13" s="14">
        <f>rateLaborer</f>
        <v>22.47</v>
      </c>
      <c r="I13" s="14">
        <f>A13*ac_trenchRate*ac_conduitFt*IF(OR(LEFT(B13,2)="3)",LEFT(B13,2)="5)"),mult_acRouting,IF(LEFT(B13,2)="4)",mult_endDevice,1))</f>
        <v>0</v>
      </c>
      <c r="J13" s="14">
        <f>A13*G13*H13*IF(OR(LEFT(B13,2)="3)",LEFT(B13,2)="5)"),mult_acRouting,IF(LEFT(B13,2)="4)",mult_endDevice,1))</f>
        <v>0</v>
      </c>
      <c r="K13" s="14">
        <f>I13+J13</f>
        <v>0</v>
      </c>
    </row>
    <row r="14" spans="1:11" x14ac:dyDescent="0.45">
      <c r="A14">
        <f>IF(ac_isSimple=1,0,1)</f>
        <v>1</v>
      </c>
      <c r="B14" t="s">
        <v>266</v>
      </c>
      <c r="C14" t="s">
        <v>272</v>
      </c>
      <c r="D14">
        <f>1</f>
        <v>1</v>
      </c>
      <c r="E14" t="s">
        <v>259</v>
      </c>
      <c r="F14">
        <f>4</f>
        <v>4</v>
      </c>
      <c r="G14">
        <f>A14*D14*F14</f>
        <v>4</v>
      </c>
      <c r="H14" s="14">
        <f>rateElectrician</f>
        <v>31.11</v>
      </c>
      <c r="I14" s="14">
        <f>A14*200*1*IF(OR(LEFT(B14,2)="3)",LEFT(B14,2)="5)"),mult_acRouting,IF(LEFT(B14,2)="4)",mult_endDevice,1))</f>
        <v>200</v>
      </c>
      <c r="J14" s="14">
        <f>A14*G14*H14*IF(OR(LEFT(B14,2)="3)",LEFT(B14,2)="5)"),mult_acRouting,IF(LEFT(B14,2)="4)",mult_endDevice,1))</f>
        <v>124.44</v>
      </c>
      <c r="K14" s="14">
        <f>I14+J14</f>
        <v>324.44</v>
      </c>
    </row>
    <row r="15" spans="1:11" x14ac:dyDescent="0.45">
      <c r="A15">
        <f>ac_isSimple</f>
        <v>0</v>
      </c>
      <c r="B15" t="s">
        <v>273</v>
      </c>
      <c r="C15" t="s">
        <v>274</v>
      </c>
      <c r="D15">
        <f>1</f>
        <v>1</v>
      </c>
      <c r="E15" t="s">
        <v>269</v>
      </c>
      <c r="F15">
        <f>1.5</f>
        <v>1.5</v>
      </c>
      <c r="G15">
        <f>A15*D15*F15</f>
        <v>0</v>
      </c>
      <c r="H15" s="14">
        <f>rateElectrician</f>
        <v>31.11</v>
      </c>
      <c r="I15" s="14">
        <f>A15*45*1*IF(OR(LEFT(B15,2)="3)",LEFT(B15,2)="5)"),mult_acRouting,IF(LEFT(B15,2)="4)",mult_endDevice,1))</f>
        <v>0</v>
      </c>
      <c r="J15" s="14">
        <f>A15*G15*H15*IF(OR(LEFT(B15,2)="3)",LEFT(B15,2)="5)"),mult_acRouting,IF(LEFT(B15,2)="4)",mult_endDevice,1))</f>
        <v>0</v>
      </c>
      <c r="K15" s="14">
        <f>I15+J15</f>
        <v>0</v>
      </c>
    </row>
    <row r="16" spans="1:11" x14ac:dyDescent="0.45">
      <c r="A16">
        <f>IF(AND(ac_isSimple=0,ac_isFull=0),1,0)</f>
        <v>1</v>
      </c>
      <c r="B16" t="s">
        <v>273</v>
      </c>
      <c r="C16" t="s">
        <v>275</v>
      </c>
      <c r="D16">
        <f>1</f>
        <v>1</v>
      </c>
      <c r="E16" t="s">
        <v>269</v>
      </c>
      <c r="F16">
        <f>3</f>
        <v>3</v>
      </c>
      <c r="G16">
        <f>A16*D16*F16</f>
        <v>3</v>
      </c>
      <c r="H16" s="14">
        <f>rateElectrician</f>
        <v>31.11</v>
      </c>
      <c r="I16" s="14">
        <f>A16*IF(powerW&lt;=2000,30,250)*1*IF(OR(LEFT(B16,2)="3)",LEFT(B16,2)="5)"),mult_acRouting,IF(LEFT(B16,2)="4)",mult_endDevice,1))</f>
        <v>33</v>
      </c>
      <c r="J16" s="14">
        <f>A16*G16*H16*IF(OR(LEFT(B16,2)="3)",LEFT(B16,2)="5)"),mult_acRouting,IF(LEFT(B16,2)="4)",mult_endDevice,1))</f>
        <v>102.66300000000001</v>
      </c>
      <c r="K16" s="14">
        <f>I16+J16</f>
        <v>135.66300000000001</v>
      </c>
    </row>
    <row r="17" spans="1:11" x14ac:dyDescent="0.45">
      <c r="A17">
        <f>ac_isFull</f>
        <v>0</v>
      </c>
      <c r="B17" t="s">
        <v>273</v>
      </c>
      <c r="C17" t="s">
        <v>276</v>
      </c>
      <c r="D17">
        <f>1</f>
        <v>1</v>
      </c>
      <c r="E17" t="s">
        <v>269</v>
      </c>
      <c r="F17">
        <f>10</f>
        <v>10</v>
      </c>
      <c r="G17">
        <f>A17*D17*F17</f>
        <v>0</v>
      </c>
      <c r="H17" s="14">
        <f>rateElectrician</f>
        <v>31.11</v>
      </c>
      <c r="I17" s="14">
        <f>A17*IF(powerW&lt;=5000,1200,2500)*1*IF(OR(LEFT(B17,2)="3)",LEFT(B17,2)="5)"),mult_acRouting,IF(LEFT(B17,2)="4)",mult_endDevice,1))</f>
        <v>0</v>
      </c>
      <c r="J17" s="14">
        <f>A17*G17*H17*IF(OR(LEFT(B17,2)="3)",LEFT(B17,2)="5)"),mult_acRouting,IF(LEFT(B17,2)="4)",mult_endDevice,1))</f>
        <v>0</v>
      </c>
      <c r="K17" s="14">
        <f>I17+J17</f>
        <v>0</v>
      </c>
    </row>
    <row r="18" spans="1:11" x14ac:dyDescent="0.45">
      <c r="A18">
        <f>ac_isFull</f>
        <v>0</v>
      </c>
      <c r="B18" t="s">
        <v>273</v>
      </c>
      <c r="C18" t="s">
        <v>277</v>
      </c>
      <c r="D18">
        <f>1</f>
        <v>1</v>
      </c>
      <c r="E18" t="s">
        <v>269</v>
      </c>
      <c r="F18">
        <f>16</f>
        <v>16</v>
      </c>
      <c r="G18">
        <f>A18*D18*F18</f>
        <v>0</v>
      </c>
      <c r="H18" s="14">
        <f>rateElectrician</f>
        <v>31.11</v>
      </c>
      <c r="I18" s="14">
        <f>A18*4500*1*IF(OR(LEFT(B18,2)="3)",LEFT(B18,2)="5)"),mult_acRouting,IF(LEFT(B18,2)="4)",mult_endDevice,1))</f>
        <v>0</v>
      </c>
      <c r="J18" s="14">
        <f>A18*G18*H18*IF(OR(LEFT(B18,2)="3)",LEFT(B18,2)="5)"),mult_acRouting,IF(LEFT(B18,2)="4)",mult_endDevice,1))</f>
        <v>0</v>
      </c>
      <c r="K18" s="14">
        <f>I18+J18</f>
        <v>0</v>
      </c>
    </row>
    <row r="19" spans="1:11" x14ac:dyDescent="0.45">
      <c r="A19">
        <f>ac_isFull</f>
        <v>0</v>
      </c>
      <c r="B19" t="s">
        <v>273</v>
      </c>
      <c r="C19" t="s">
        <v>278</v>
      </c>
      <c r="D19">
        <f>1</f>
        <v>1</v>
      </c>
      <c r="E19" t="s">
        <v>269</v>
      </c>
      <c r="F19">
        <f>6</f>
        <v>6</v>
      </c>
      <c r="G19">
        <f>A19*D19*F19</f>
        <v>0</v>
      </c>
      <c r="H19" s="14">
        <f>rateElectrician</f>
        <v>31.11</v>
      </c>
      <c r="I19" s="14">
        <f>A19*2500*1*IF(OR(LEFT(B19,2)="3)",LEFT(B19,2)="5)"),mult_acRouting,IF(LEFT(B19,2)="4)",mult_endDevice,1))</f>
        <v>0</v>
      </c>
      <c r="J19" s="14">
        <f>A19*G19*H19*IF(OR(LEFT(B19,2)="3)",LEFT(B19,2)="5)"),mult_acRouting,IF(LEFT(B19,2)="4)",mult_endDevice,1))</f>
        <v>0</v>
      </c>
      <c r="K19" s="14">
        <f>I19+J19</f>
        <v>0</v>
      </c>
    </row>
    <row r="20" spans="1:11" x14ac:dyDescent="0.45">
      <c r="A20">
        <f>1</f>
        <v>1</v>
      </c>
      <c r="B20" t="s">
        <v>279</v>
      </c>
      <c r="C20" t="s">
        <v>280</v>
      </c>
      <c r="D20">
        <f>ac_cableFt</f>
        <v>590</v>
      </c>
      <c r="E20" t="s">
        <v>6</v>
      </c>
      <c r="F20">
        <f>IF(ac_isSimple=1,0.03,IF(powerW&gt;5000,0.06,0.04))</f>
        <v>0.04</v>
      </c>
      <c r="G20">
        <f>A20*D20*F20</f>
        <v>23.6</v>
      </c>
      <c r="H20" s="14">
        <f>rateElectrician</f>
        <v>31.11</v>
      </c>
      <c r="I20" s="14">
        <f>A20*ac_cableRate*ac_wireCount*ac_cableFt*IF(OR(LEFT(B20,2)="3)",LEFT(B20,2)="5)"),mult_acRouting,IF(LEFT(B20,2)="4)",mult_endDevice,1))</f>
        <v>1327.5</v>
      </c>
      <c r="J20" s="14">
        <f>A20*G20*H20*IF(OR(LEFT(B20,2)="3)",LEFT(B20,2)="5)"),mult_acRouting,IF(LEFT(B20,2)="4)",mult_endDevice,1))</f>
        <v>734.19600000000003</v>
      </c>
      <c r="K20" s="14">
        <f>I20+J20</f>
        <v>2061.6959999999999</v>
      </c>
    </row>
    <row r="21" spans="1:11" x14ac:dyDescent="0.45">
      <c r="A21">
        <f>1</f>
        <v>1</v>
      </c>
      <c r="B21" t="s">
        <v>279</v>
      </c>
      <c r="C21" t="s">
        <v>281</v>
      </c>
      <c r="D21">
        <f>1</f>
        <v>1</v>
      </c>
      <c r="E21" t="s">
        <v>259</v>
      </c>
      <c r="F21">
        <f>IF(ac_isSimple=1,1.5,4+powerW/3000)</f>
        <v>4.5</v>
      </c>
      <c r="G21">
        <f>A21*D21*F21</f>
        <v>4.5</v>
      </c>
      <c r="H21" s="14">
        <f>rateElectrician</f>
        <v>31.11</v>
      </c>
      <c r="I21" s="14">
        <f>A21*IF(ac_isSimple=1,35,250)*1*IF(OR(LEFT(B21,2)="3)",LEFT(B21,2)="5)"),mult_acRouting,IF(LEFT(B21,2)="4)",mult_endDevice,1))</f>
        <v>250</v>
      </c>
      <c r="J21" s="14">
        <f>A21*G21*H21*IF(OR(LEFT(B21,2)="3)",LEFT(B21,2)="5)"),mult_acRouting,IF(LEFT(B21,2)="4)",mult_endDevice,1))</f>
        <v>139.995</v>
      </c>
      <c r="K21" s="14">
        <f>I21+J21</f>
        <v>389.995</v>
      </c>
    </row>
    <row r="22" spans="1:11" x14ac:dyDescent="0.45">
      <c r="A22">
        <f>IF(ac_isSimple=1,0,1)</f>
        <v>1</v>
      </c>
      <c r="B22" t="s">
        <v>279</v>
      </c>
      <c r="C22" t="s">
        <v>282</v>
      </c>
      <c r="D22">
        <f>1</f>
        <v>1</v>
      </c>
      <c r="E22" t="s">
        <v>259</v>
      </c>
      <c r="F22">
        <f>IF(ac_isFull=1,8,4)</f>
        <v>4</v>
      </c>
      <c r="G22">
        <f>A22*D22*F22</f>
        <v>4</v>
      </c>
      <c r="H22" s="14">
        <f>rateDesigner</f>
        <v>35.44</v>
      </c>
      <c r="I22" s="14">
        <f>A22*0*0*IF(OR(LEFT(B22,2)="3)",LEFT(B22,2)="5)"),mult_acRouting,IF(LEFT(B22,2)="4)",mult_endDevice,1))</f>
        <v>0</v>
      </c>
      <c r="J22" s="14">
        <f>A22*G22*H22*IF(OR(LEFT(B22,2)="3)",LEFT(B22,2)="5)"),mult_acRouting,IF(LEFT(B22,2)="4)",mult_endDevice,1))</f>
        <v>141.76</v>
      </c>
      <c r="K22" s="14">
        <f>I22+J22</f>
        <v>141.76</v>
      </c>
    </row>
    <row r="23" spans="1:11" x14ac:dyDescent="0.45">
      <c r="A23">
        <f>ac_isSimple</f>
        <v>0</v>
      </c>
      <c r="B23" t="s">
        <v>283</v>
      </c>
      <c r="C23" t="s">
        <v>284</v>
      </c>
      <c r="D23">
        <f>1</f>
        <v>1</v>
      </c>
      <c r="E23" t="s">
        <v>259</v>
      </c>
      <c r="F23">
        <f>2</f>
        <v>2</v>
      </c>
      <c r="G23">
        <f>A23*D23*F23</f>
        <v>0</v>
      </c>
      <c r="H23" s="14">
        <f>rateElectrician</f>
        <v>31.11</v>
      </c>
      <c r="I23" s="14">
        <f>A23*0*0*IF(OR(LEFT(B23,2)="3)",LEFT(B23,2)="5)"),mult_acRouting,IF(LEFT(B23,2)="4)",mult_endDevice,1))</f>
        <v>0</v>
      </c>
      <c r="J23" s="14">
        <f>A23*G23*H23*IF(OR(LEFT(B23,2)="3)",LEFT(B23,2)="5)"),mult_acRouting,IF(LEFT(B23,2)="4)",mult_endDevice,1))</f>
        <v>0</v>
      </c>
      <c r="K23" s="14">
        <f>I23+J23</f>
        <v>0</v>
      </c>
    </row>
    <row r="24" spans="1:11" x14ac:dyDescent="0.45">
      <c r="A24">
        <f>IF(ac_isSimple=1,0,1)</f>
        <v>1</v>
      </c>
      <c r="B24" t="s">
        <v>283</v>
      </c>
      <c r="C24" t="s">
        <v>285</v>
      </c>
      <c r="D24">
        <f>1</f>
        <v>1</v>
      </c>
      <c r="E24" t="s">
        <v>259</v>
      </c>
      <c r="F24">
        <f>IF(ac_isFull=1,12,4)</f>
        <v>4</v>
      </c>
      <c r="G24">
        <f>A24*D24*F24</f>
        <v>4</v>
      </c>
      <c r="H24" s="14">
        <f>rateElectrician</f>
        <v>31.11</v>
      </c>
      <c r="I24" s="14">
        <f>A24*80*1*IF(OR(LEFT(B24,2)="3)",LEFT(B24,2)="5)"),mult_acRouting,IF(LEFT(B24,2)="4)",mult_endDevice,1))</f>
        <v>80</v>
      </c>
      <c r="J24" s="14">
        <f>A24*G24*H24*IF(OR(LEFT(B24,2)="3)",LEFT(B24,2)="5)"),mult_acRouting,IF(LEFT(B24,2)="4)",mult_endDevice,1))</f>
        <v>124.44</v>
      </c>
      <c r="K24" s="14">
        <f>I24+J24</f>
        <v>204.44</v>
      </c>
    </row>
    <row r="25" spans="1:11" x14ac:dyDescent="0.45">
      <c r="A25">
        <f>ac_isFull</f>
        <v>0</v>
      </c>
      <c r="B25" t="s">
        <v>283</v>
      </c>
      <c r="C25" t="s">
        <v>286</v>
      </c>
      <c r="D25">
        <f>1</f>
        <v>1</v>
      </c>
      <c r="E25" t="s">
        <v>259</v>
      </c>
      <c r="F25">
        <f>8</f>
        <v>8</v>
      </c>
      <c r="G25">
        <f>A25*D25*F25</f>
        <v>0</v>
      </c>
      <c r="H25" s="14">
        <f>rateElectrician</f>
        <v>31.11</v>
      </c>
      <c r="I25" s="14">
        <f>A25*0*0*IF(OR(LEFT(B25,2)="3)",LEFT(B25,2)="5)"),mult_acRouting,IF(LEFT(B25,2)="4)",mult_endDevice,1))</f>
        <v>0</v>
      </c>
      <c r="J25" s="14">
        <f>A25*G25*H25*IF(OR(LEFT(B25,2)="3)",LEFT(B25,2)="5)"),mult_acRouting,IF(LEFT(B25,2)="4)",mult_endDevice,1))</f>
        <v>0</v>
      </c>
      <c r="K25" s="14">
        <f>I25+J25</f>
        <v>0</v>
      </c>
    </row>
    <row r="26" spans="1:11" x14ac:dyDescent="0.45">
      <c r="A26">
        <f>IF(ac_isSimple=1,0,1)</f>
        <v>1</v>
      </c>
      <c r="B26" t="s">
        <v>283</v>
      </c>
      <c r="C26" t="s">
        <v>287</v>
      </c>
      <c r="D26">
        <f>1</f>
        <v>1</v>
      </c>
      <c r="E26" t="s">
        <v>259</v>
      </c>
      <c r="F26">
        <f>IF(ac_isFull=1,10,4)</f>
        <v>4</v>
      </c>
      <c r="G26">
        <f>A26*D26*F26</f>
        <v>4</v>
      </c>
      <c r="H26" s="14">
        <f>rateElectrician</f>
        <v>31.11</v>
      </c>
      <c r="I26" s="14">
        <f>A26*0*0*IF(OR(LEFT(B26,2)="3)",LEFT(B26,2)="5)"),mult_acRouting,IF(LEFT(B26,2)="4)",mult_endDevice,1))</f>
        <v>0</v>
      </c>
      <c r="J26" s="14">
        <f>A26*G26*H26*IF(OR(LEFT(B26,2)="3)",LEFT(B26,2)="5)"),mult_acRouting,IF(LEFT(B26,2)="4)",mult_endDevice,1))</f>
        <v>124.44</v>
      </c>
      <c r="K26" s="14">
        <f>I26+J26</f>
        <v>124.44</v>
      </c>
    </row>
    <row r="27" spans="1:11" x14ac:dyDescent="0.45">
      <c r="A27">
        <f>IF(ac_isSimple=1,0,1)</f>
        <v>1</v>
      </c>
      <c r="B27" t="s">
        <v>283</v>
      </c>
      <c r="C27" t="s">
        <v>288</v>
      </c>
      <c r="D27">
        <f>1</f>
        <v>1</v>
      </c>
      <c r="E27" t="s">
        <v>259</v>
      </c>
      <c r="F27">
        <f>IF(ac_isFull=1,18,8)</f>
        <v>8</v>
      </c>
      <c r="G27">
        <f>A27*D27*F27</f>
        <v>8</v>
      </c>
      <c r="H27" s="14">
        <f>rateDesign</f>
        <v>51.43</v>
      </c>
      <c r="I27" s="14">
        <f>A27*0*0*IF(OR(LEFT(B27,2)="3)",LEFT(B27,2)="5)"),mult_acRouting,IF(LEFT(B27,2)="4)",mult_endDevice,1))</f>
        <v>0</v>
      </c>
      <c r="J27" s="14">
        <f>A27*G27*H27*IF(OR(LEFT(B27,2)="3)",LEFT(B27,2)="5)"),mult_acRouting,IF(LEFT(B27,2)="4)",mult_endDevice,1))</f>
        <v>411.44</v>
      </c>
      <c r="K27" s="14">
        <f>I27+J27</f>
        <v>411.44</v>
      </c>
    </row>
    <row r="28" spans="1:11" x14ac:dyDescent="0.45">
      <c r="A28">
        <f>ac_isFull</f>
        <v>0</v>
      </c>
      <c r="B28" t="s">
        <v>283</v>
      </c>
      <c r="C28" t="s">
        <v>289</v>
      </c>
      <c r="D28">
        <f>1</f>
        <v>1</v>
      </c>
      <c r="E28" t="s">
        <v>259</v>
      </c>
      <c r="F28">
        <f>16</f>
        <v>16</v>
      </c>
      <c r="G28">
        <f>A28*D28*F28</f>
        <v>0</v>
      </c>
      <c r="H28" s="14">
        <f>rateDesign</f>
        <v>51.43</v>
      </c>
      <c r="I28" s="14">
        <f>A28*0*0*IF(OR(LEFT(B28,2)="3)",LEFT(B28,2)="5)"),mult_acRouting,IF(LEFT(B28,2)="4)",mult_endDevice,1))</f>
        <v>0</v>
      </c>
      <c r="J28" s="14">
        <f>A28*G28*H28*IF(OR(LEFT(B28,2)="3)",LEFT(B28,2)="5)"),mult_acRouting,IF(LEFT(B28,2)="4)",mult_endDevice,1))</f>
        <v>0</v>
      </c>
      <c r="K28" s="14">
        <f>I28+J28</f>
        <v>0</v>
      </c>
    </row>
    <row r="30" spans="1:11" x14ac:dyDescent="0.45">
      <c r="C30" s="7" t="s">
        <v>290</v>
      </c>
      <c r="G30" s="13">
        <f>SUM(G4:G28)</f>
        <v>291.75</v>
      </c>
      <c r="H30" s="13"/>
      <c r="I30" s="15">
        <f>SUM(I4:I28)</f>
        <v>6528</v>
      </c>
      <c r="J30" s="15">
        <f>SUM(J4:J28)</f>
        <v>7595.3594999999987</v>
      </c>
      <c r="K30" s="15">
        <f>SUM(K4:K28)</f>
        <v>14123.359500000002</v>
      </c>
    </row>
    <row r="32" spans="1:11" x14ac:dyDescent="0.45">
      <c r="C32" t="s">
        <v>291</v>
      </c>
      <c r="G32">
        <f>SUMPRODUCT((LEFT(B4:B28,2)="1)")*G4:G28)+SUMPRODUCT((LEFT(B4:B28,2)="2)")*G4:G28)</f>
        <v>141</v>
      </c>
    </row>
    <row r="33" spans="3:7" x14ac:dyDescent="0.45">
      <c r="C33" t="s">
        <v>292</v>
      </c>
      <c r="G33">
        <f>G30-G32</f>
        <v>150.75</v>
      </c>
    </row>
    <row r="34" spans="3:7" x14ac:dyDescent="0.45">
      <c r="C34" t="s">
        <v>293</v>
      </c>
      <c r="G34">
        <f>G32/8</f>
        <v>17.625</v>
      </c>
    </row>
    <row r="35" spans="3:7" x14ac:dyDescent="0.45">
      <c r="C35" t="s">
        <v>294</v>
      </c>
      <c r="G35">
        <f>G33/8/crewSize</f>
        <v>6.28125</v>
      </c>
    </row>
    <row r="36" spans="3:7" x14ac:dyDescent="0.45">
      <c r="C36" s="7" t="s">
        <v>295</v>
      </c>
      <c r="G36" s="13">
        <f>G34+G35</f>
        <v>23.90625</v>
      </c>
    </row>
  </sheetData>
  <mergeCells count="1">
    <mergeCell ref="A1:K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23B11-FC36-4264-85D2-4126BE1E3101}">
  <sheetPr codeName="Sheet6"/>
  <dimension ref="A1:K28"/>
  <sheetViews>
    <sheetView workbookViewId="0"/>
  </sheetViews>
  <sheetFormatPr defaultRowHeight="14.25" x14ac:dyDescent="0.45"/>
  <cols>
    <col min="1" max="1" width="7.59765625" customWidth="1"/>
    <col min="2" max="2" width="32.59765625" customWidth="1"/>
    <col min="3" max="3" width="42.59765625" customWidth="1"/>
    <col min="4" max="4" width="11.59765625" customWidth="1"/>
    <col min="5" max="5" width="7.59765625" customWidth="1"/>
    <col min="6" max="6" width="13.59765625" customWidth="1"/>
    <col min="7" max="8" width="11.59765625" customWidth="1"/>
    <col min="9" max="11" width="14.59765625" customWidth="1"/>
  </cols>
  <sheetData>
    <row r="1" spans="1:11" ht="16.899999999999999" x14ac:dyDescent="0.5">
      <c r="A1" s="11" t="s">
        <v>296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x14ac:dyDescent="0.45">
      <c r="A3" s="12" t="s">
        <v>246</v>
      </c>
      <c r="B3" s="12" t="s">
        <v>247</v>
      </c>
      <c r="C3" s="12" t="s">
        <v>248</v>
      </c>
      <c r="D3" s="12" t="s">
        <v>249</v>
      </c>
      <c r="E3" s="12" t="s">
        <v>250</v>
      </c>
      <c r="F3" s="12" t="s">
        <v>251</v>
      </c>
      <c r="G3" s="12" t="s">
        <v>252</v>
      </c>
      <c r="H3" s="12" t="s">
        <v>253</v>
      </c>
      <c r="I3" s="12" t="s">
        <v>254</v>
      </c>
      <c r="J3" s="12" t="s">
        <v>255</v>
      </c>
      <c r="K3" s="12" t="s">
        <v>256</v>
      </c>
    </row>
    <row r="4" spans="1:11" x14ac:dyDescent="0.45">
      <c r="A4">
        <f>1</f>
        <v>1</v>
      </c>
      <c r="B4" t="s">
        <v>257</v>
      </c>
      <c r="C4" t="s">
        <v>297</v>
      </c>
      <c r="D4">
        <f>1</f>
        <v>1</v>
      </c>
      <c r="E4" t="s">
        <v>259</v>
      </c>
      <c r="F4">
        <f>4+cl2_pairs*0.4</f>
        <v>10</v>
      </c>
      <c r="G4">
        <f>A4*D4*F4</f>
        <v>10</v>
      </c>
      <c r="H4" s="14">
        <f>rateDesign</f>
        <v>51.43</v>
      </c>
      <c r="I4" s="14">
        <f>A4*0*0*IF(OR(LEFT(B4,2)="3)",LEFT(B4,2)="5)"),mult_lvRouting,IF(LEFT(B4,2)="4)",mult_endDevice,1))</f>
        <v>0</v>
      </c>
      <c r="J4" s="14">
        <f>A4*G4*H4*IF(OR(LEFT(B4,2)="3)",LEFT(B4,2)="5)"),mult_lvRouting,IF(LEFT(B4,2)="4)",mult_endDevice,1))</f>
        <v>514.29999999999995</v>
      </c>
      <c r="K4" s="14">
        <f>I4+J4</f>
        <v>514.29999999999995</v>
      </c>
    </row>
    <row r="5" spans="1:11" x14ac:dyDescent="0.45">
      <c r="A5">
        <f>1</f>
        <v>1</v>
      </c>
      <c r="B5" t="s">
        <v>257</v>
      </c>
      <c r="C5" t="s">
        <v>298</v>
      </c>
      <c r="D5">
        <f>1</f>
        <v>1</v>
      </c>
      <c r="E5" t="s">
        <v>259</v>
      </c>
      <c r="F5">
        <f>4</f>
        <v>4</v>
      </c>
      <c r="G5">
        <f>A5*D5*F5</f>
        <v>4</v>
      </c>
      <c r="H5" s="14">
        <f>rateLvTech</f>
        <v>28.51</v>
      </c>
      <c r="I5" s="14">
        <f>A5*0*0*IF(OR(LEFT(B5,2)="3)",LEFT(B5,2)="5)"),mult_lvRouting,IF(LEFT(B5,2)="4)",mult_endDevice,1))</f>
        <v>0</v>
      </c>
      <c r="J5" s="14">
        <f>A5*G5*H5*IF(OR(LEFT(B5,2)="3)",LEFT(B5,2)="5)"),mult_lvRouting,IF(LEFT(B5,2)="4)",mult_endDevice,1))</f>
        <v>114.04</v>
      </c>
      <c r="K5" s="14">
        <f>I5+J5</f>
        <v>114.04</v>
      </c>
    </row>
    <row r="6" spans="1:11" x14ac:dyDescent="0.45">
      <c r="A6">
        <f>1</f>
        <v>1</v>
      </c>
      <c r="B6" t="s">
        <v>261</v>
      </c>
      <c r="C6" t="s">
        <v>262</v>
      </c>
      <c r="D6">
        <f>1</f>
        <v>1</v>
      </c>
      <c r="E6" t="s">
        <v>259</v>
      </c>
      <c r="F6">
        <f>3+cl2_dist/1200</f>
        <v>3.4166666666666665</v>
      </c>
      <c r="G6">
        <f>A6*D6*F6</f>
        <v>3.4166666666666665</v>
      </c>
      <c r="H6" s="14">
        <f>rateDesign</f>
        <v>51.43</v>
      </c>
      <c r="I6" s="14">
        <f>A6*0*0*IF(OR(LEFT(B6,2)="3)",LEFT(B6,2)="5)"),mult_lvRouting,IF(LEFT(B6,2)="4)",mult_endDevice,1))</f>
        <v>0</v>
      </c>
      <c r="J6" s="14">
        <f>A6*G6*H6*IF(OR(LEFT(B6,2)="3)",LEFT(B6,2)="5)"),mult_lvRouting,IF(LEFT(B6,2)="4)",mult_endDevice,1))</f>
        <v>175.71916666666667</v>
      </c>
      <c r="K6" s="14">
        <f>I6+J6</f>
        <v>175.71916666666667</v>
      </c>
    </row>
    <row r="7" spans="1:11" x14ac:dyDescent="0.45">
      <c r="A7">
        <f>1</f>
        <v>1</v>
      </c>
      <c r="B7" t="s">
        <v>261</v>
      </c>
      <c r="C7" t="s">
        <v>299</v>
      </c>
      <c r="D7">
        <f>1</f>
        <v>1</v>
      </c>
      <c r="E7" t="s">
        <v>259</v>
      </c>
      <c r="F7">
        <f>3</f>
        <v>3</v>
      </c>
      <c r="G7">
        <f>A7*D7*F7</f>
        <v>3</v>
      </c>
      <c r="H7" s="14">
        <f>rateDesign</f>
        <v>51.43</v>
      </c>
      <c r="I7" s="14">
        <f>A7*250*1*IF(OR(LEFT(B7,2)="3)",LEFT(B7,2)="5)"),mult_lvRouting,IF(LEFT(B7,2)="4)",mult_endDevice,1))</f>
        <v>250</v>
      </c>
      <c r="J7" s="14">
        <f>A7*G7*H7*IF(OR(LEFT(B7,2)="3)",LEFT(B7,2)="5)"),mult_lvRouting,IF(LEFT(B7,2)="4)",mult_endDevice,1))</f>
        <v>154.29</v>
      </c>
      <c r="K7" s="14">
        <f>I7+J7</f>
        <v>404.28999999999996</v>
      </c>
    </row>
    <row r="8" spans="1:11" x14ac:dyDescent="0.45">
      <c r="A8">
        <f>1</f>
        <v>1</v>
      </c>
      <c r="B8" t="s">
        <v>261</v>
      </c>
      <c r="C8" t="s">
        <v>265</v>
      </c>
      <c r="D8">
        <f>1</f>
        <v>1</v>
      </c>
      <c r="E8" t="s">
        <v>259</v>
      </c>
      <c r="F8">
        <f>6</f>
        <v>6</v>
      </c>
      <c r="G8">
        <f>A8*D8*F8</f>
        <v>6</v>
      </c>
      <c r="H8" s="14">
        <f>rateDesign</f>
        <v>51.43</v>
      </c>
      <c r="I8" s="14">
        <f>A8*0*0*IF(OR(LEFT(B8,2)="3)",LEFT(B8,2)="5)"),mult_lvRouting,IF(LEFT(B8,2)="4)",mult_endDevice,1))</f>
        <v>0</v>
      </c>
      <c r="J8" s="14">
        <f>A8*G8*H8*IF(OR(LEFT(B8,2)="3)",LEFT(B8,2)="5)"),mult_lvRouting,IF(LEFT(B8,2)="4)",mult_endDevice,1))</f>
        <v>308.58</v>
      </c>
      <c r="K8" s="14">
        <f>I8+J8</f>
        <v>308.58</v>
      </c>
    </row>
    <row r="9" spans="1:11" x14ac:dyDescent="0.45">
      <c r="A9">
        <f>1</f>
        <v>1</v>
      </c>
      <c r="B9" t="s">
        <v>266</v>
      </c>
      <c r="C9" t="s">
        <v>300</v>
      </c>
      <c r="D9">
        <f>cl2_pathwayFt</f>
        <v>525</v>
      </c>
      <c r="E9" t="s">
        <v>6</v>
      </c>
      <c r="F9">
        <f>1/110</f>
        <v>9.0909090909090905E-3</v>
      </c>
      <c r="G9">
        <f>A9*D9*F9</f>
        <v>4.7727272727272725</v>
      </c>
      <c r="H9" s="14">
        <f>rateLvTech</f>
        <v>28.51</v>
      </c>
      <c r="I9" s="14">
        <f>A9*4.5*cl2_jHookQty*IF(OR(LEFT(B9,2)="3)",LEFT(B9,2)="5)"),mult_lvRouting,IF(LEFT(B9,2)="4)",mult_endDevice,1))</f>
        <v>396</v>
      </c>
      <c r="J9" s="14">
        <f>A9*G9*H9*IF(OR(LEFT(B9,2)="3)",LEFT(B9,2)="5)"),mult_lvRouting,IF(LEFT(B9,2)="4)",mult_endDevice,1))</f>
        <v>136.07045454545454</v>
      </c>
      <c r="K9" s="14">
        <f>I9+J9</f>
        <v>532.0704545454546</v>
      </c>
    </row>
    <row r="10" spans="1:11" x14ac:dyDescent="0.45">
      <c r="A10">
        <f>1</f>
        <v>1</v>
      </c>
      <c r="B10" t="s">
        <v>266</v>
      </c>
      <c r="C10" t="s">
        <v>270</v>
      </c>
      <c r="D10">
        <f>cl2_penetrations</f>
        <v>3</v>
      </c>
      <c r="E10" t="s">
        <v>269</v>
      </c>
      <c r="F10">
        <f>0.85</f>
        <v>0.85</v>
      </c>
      <c r="G10">
        <f>A10*D10*F10</f>
        <v>2.5499999999999998</v>
      </c>
      <c r="H10" s="14">
        <f>rateLaborer</f>
        <v>22.47</v>
      </c>
      <c r="I10" s="14">
        <f>A10*45*cl2_penetrations*IF(OR(LEFT(B10,2)="3)",LEFT(B10,2)="5)"),mult_lvRouting,IF(LEFT(B10,2)="4)",mult_endDevice,1))</f>
        <v>135</v>
      </c>
      <c r="J10" s="14">
        <f>A10*G10*H10*IF(OR(LEFT(B10,2)="3)",LEFT(B10,2)="5)"),mult_lvRouting,IF(LEFT(B10,2)="4)",mult_endDevice,1))</f>
        <v>57.29849999999999</v>
      </c>
      <c r="K10" s="14">
        <f>I10+J10</f>
        <v>192.29849999999999</v>
      </c>
    </row>
    <row r="11" spans="1:11" x14ac:dyDescent="0.45">
      <c r="A11">
        <f>IF(lv_trenchRate&gt;0,1,0)</f>
        <v>0</v>
      </c>
      <c r="B11" t="s">
        <v>266</v>
      </c>
      <c r="C11" t="s">
        <v>271</v>
      </c>
      <c r="D11">
        <f>cl2_pathwayFt</f>
        <v>525</v>
      </c>
      <c r="E11" t="s">
        <v>6</v>
      </c>
      <c r="F11">
        <f>lv_trenchLabor</f>
        <v>0</v>
      </c>
      <c r="G11">
        <f>A11*D11*F11</f>
        <v>0</v>
      </c>
      <c r="H11" s="14">
        <f>rateLaborer</f>
        <v>22.47</v>
      </c>
      <c r="I11" s="14">
        <f>A11*lv_trenchRate*cl2_pathwayFt*IF(OR(LEFT(B11,2)="3)",LEFT(B11,2)="5)"),mult_lvRouting,IF(LEFT(B11,2)="4)",mult_endDevice,1))</f>
        <v>0</v>
      </c>
      <c r="J11" s="14">
        <f>A11*G11*H11*IF(OR(LEFT(B11,2)="3)",LEFT(B11,2)="5)"),mult_lvRouting,IF(LEFT(B11,2)="4)",mult_endDevice,1))</f>
        <v>0</v>
      </c>
      <c r="K11" s="14">
        <f>I11+J11</f>
        <v>0</v>
      </c>
    </row>
    <row r="12" spans="1:11" x14ac:dyDescent="0.45">
      <c r="A12">
        <f>1</f>
        <v>1</v>
      </c>
      <c r="B12" t="s">
        <v>273</v>
      </c>
      <c r="C12" t="s">
        <v>301</v>
      </c>
      <c r="D12">
        <f>cl2_dcHubQty</f>
        <v>5</v>
      </c>
      <c r="E12" t="s">
        <v>269</v>
      </c>
      <c r="F12">
        <f>0.5</f>
        <v>0.5</v>
      </c>
      <c r="G12">
        <f>A12*D12*F12</f>
        <v>2.5</v>
      </c>
      <c r="H12" s="14">
        <f>rateLvTech</f>
        <v>28.51</v>
      </c>
      <c r="I12" s="14">
        <f>A12*520*cl2_dcHubQty*IF(OR(LEFT(B12,2)="3)",LEFT(B12,2)="5)"),mult_lvRouting,IF(LEFT(B12,2)="4)",mult_endDevice,1))</f>
        <v>2860.0000000000005</v>
      </c>
      <c r="J12" s="14">
        <f>A12*G12*H12*IF(OR(LEFT(B12,2)="3)",LEFT(B12,2)="5)"),mult_lvRouting,IF(LEFT(B12,2)="4)",mult_endDevice,1))</f>
        <v>78.402500000000018</v>
      </c>
      <c r="K12" s="14">
        <f>I12+J12</f>
        <v>2938.4025000000006</v>
      </c>
    </row>
    <row r="13" spans="1:11" x14ac:dyDescent="0.45">
      <c r="A13">
        <f>1</f>
        <v>1</v>
      </c>
      <c r="B13" t="s">
        <v>273</v>
      </c>
      <c r="C13" t="s">
        <v>302</v>
      </c>
      <c r="D13">
        <f>cl2_pairs</f>
        <v>15</v>
      </c>
      <c r="E13" t="s">
        <v>269</v>
      </c>
      <c r="F13">
        <f>0.25</f>
        <v>0.25</v>
      </c>
      <c r="G13">
        <f>A13*D13*F13</f>
        <v>3.75</v>
      </c>
      <c r="H13" s="14">
        <f>rateLvTech</f>
        <v>28.51</v>
      </c>
      <c r="I13" s="14">
        <f>A13*160*cl2_pairs*IF(OR(LEFT(B13,2)="3)",LEFT(B13,2)="5)"),mult_lvRouting,IF(LEFT(B13,2)="4)",mult_endDevice,1))</f>
        <v>2640</v>
      </c>
      <c r="J13" s="14">
        <f>A13*G13*H13*IF(OR(LEFT(B13,2)="3)",LEFT(B13,2)="5)"),mult_lvRouting,IF(LEFT(B13,2)="4)",mult_endDevice,1))</f>
        <v>117.60375000000002</v>
      </c>
      <c r="K13" s="14">
        <f>I13+J13</f>
        <v>2757.6037500000002</v>
      </c>
    </row>
    <row r="14" spans="1:11" x14ac:dyDescent="0.45">
      <c r="A14">
        <f>1</f>
        <v>1</v>
      </c>
      <c r="B14" t="s">
        <v>279</v>
      </c>
      <c r="C14" t="s">
        <v>303</v>
      </c>
      <c r="D14">
        <f>1</f>
        <v>1</v>
      </c>
      <c r="E14" t="s">
        <v>259</v>
      </c>
      <c r="F14">
        <f>cl2_pullHrs</f>
        <v>12.589999999999998</v>
      </c>
      <c r="G14">
        <f>A14*D14*F14</f>
        <v>12.589999999999998</v>
      </c>
      <c r="H14" s="14">
        <f>rateLvTech</f>
        <v>28.51</v>
      </c>
      <c r="I14" s="14">
        <f>A14*cl2_cableRate*cl2_cablePairFt*IF(OR(LEFT(B14,2)="3)",LEFT(B14,2)="5)"),mult_lvRouting,IF(LEFT(B14,2)="4)",mult_endDevice,1))</f>
        <v>2722.5</v>
      </c>
      <c r="J14" s="14">
        <f>A14*G14*H14*IF(OR(LEFT(B14,2)="3)",LEFT(B14,2)="5)"),mult_lvRouting,IF(LEFT(B14,2)="4)",mult_endDevice,1))</f>
        <v>358.94089999999994</v>
      </c>
      <c r="K14" s="14">
        <f>I14+J14</f>
        <v>3081.4409000000001</v>
      </c>
    </row>
    <row r="15" spans="1:11" x14ac:dyDescent="0.45">
      <c r="A15">
        <f>1</f>
        <v>1</v>
      </c>
      <c r="B15" t="s">
        <v>279</v>
      </c>
      <c r="C15" t="s">
        <v>304</v>
      </c>
      <c r="D15">
        <f>1</f>
        <v>1</v>
      </c>
      <c r="E15" t="s">
        <v>259</v>
      </c>
      <c r="F15">
        <f>1.5+cl2_pairs*0.3</f>
        <v>6</v>
      </c>
      <c r="G15">
        <f>A15*D15*F15</f>
        <v>6</v>
      </c>
      <c r="H15" s="14">
        <f>rateLvTech</f>
        <v>28.51</v>
      </c>
      <c r="I15" s="14">
        <f>A15*95*1*IF(OR(LEFT(B15,2)="3)",LEFT(B15,2)="5)"),mult_lvRouting,IF(LEFT(B15,2)="4)",mult_endDevice,1))</f>
        <v>95</v>
      </c>
      <c r="J15" s="14">
        <f>A15*G15*H15*IF(OR(LEFT(B15,2)="3)",LEFT(B15,2)="5)"),mult_lvRouting,IF(LEFT(B15,2)="4)",mult_endDevice,1))</f>
        <v>171.06</v>
      </c>
      <c r="K15" s="14">
        <f>I15+J15</f>
        <v>266.06</v>
      </c>
    </row>
    <row r="16" spans="1:11" x14ac:dyDescent="0.45">
      <c r="A16">
        <f>1</f>
        <v>1</v>
      </c>
      <c r="B16" t="s">
        <v>279</v>
      </c>
      <c r="C16" t="s">
        <v>305</v>
      </c>
      <c r="D16">
        <f>1</f>
        <v>1</v>
      </c>
      <c r="E16" t="s">
        <v>259</v>
      </c>
      <c r="F16">
        <f>1+cl2_pairs*0.15</f>
        <v>3.25</v>
      </c>
      <c r="G16">
        <f>A16*D16*F16</f>
        <v>3.25</v>
      </c>
      <c r="H16" s="14">
        <f>rateLvTech</f>
        <v>28.51</v>
      </c>
      <c r="I16" s="14">
        <f>A16*65*1*IF(OR(LEFT(B16,2)="3)",LEFT(B16,2)="5)"),mult_lvRouting,IF(LEFT(B16,2)="4)",mult_endDevice,1))</f>
        <v>65</v>
      </c>
      <c r="J16" s="14">
        <f>A16*G16*H16*IF(OR(LEFT(B16,2)="3)",LEFT(B16,2)="5)"),mult_lvRouting,IF(LEFT(B16,2)="4)",mult_endDevice,1))</f>
        <v>92.657499999999999</v>
      </c>
      <c r="K16" s="14">
        <f>I16+J16</f>
        <v>157.6575</v>
      </c>
    </row>
    <row r="17" spans="1:11" x14ac:dyDescent="0.45">
      <c r="A17">
        <f>1</f>
        <v>1</v>
      </c>
      <c r="B17" t="s">
        <v>283</v>
      </c>
      <c r="C17" t="s">
        <v>306</v>
      </c>
      <c r="D17">
        <f>1</f>
        <v>1</v>
      </c>
      <c r="E17" t="s">
        <v>259</v>
      </c>
      <c r="F17">
        <f>2+cl2_pairs*0.15</f>
        <v>4.25</v>
      </c>
      <c r="G17">
        <f>A17*D17*F17</f>
        <v>4.25</v>
      </c>
      <c r="H17" s="14">
        <f>rateLvTech</f>
        <v>28.51</v>
      </c>
      <c r="I17" s="14">
        <f>A17*65*1*IF(OR(LEFT(B17,2)="3)",LEFT(B17,2)="5)"),mult_lvRouting,IF(LEFT(B17,2)="4)",mult_endDevice,1))</f>
        <v>65</v>
      </c>
      <c r="J17" s="14">
        <f>A17*G17*H17*IF(OR(LEFT(B17,2)="3)",LEFT(B17,2)="5)"),mult_lvRouting,IF(LEFT(B17,2)="4)",mult_endDevice,1))</f>
        <v>121.1675</v>
      </c>
      <c r="K17" s="14">
        <f>I17+J17</f>
        <v>186.16750000000002</v>
      </c>
    </row>
    <row r="18" spans="1:11" x14ac:dyDescent="0.45">
      <c r="A18">
        <f>1</f>
        <v>1</v>
      </c>
      <c r="B18" t="s">
        <v>283</v>
      </c>
      <c r="C18" t="s">
        <v>307</v>
      </c>
      <c r="D18">
        <f>1</f>
        <v>1</v>
      </c>
      <c r="E18" t="s">
        <v>259</v>
      </c>
      <c r="F18">
        <f>2</f>
        <v>2</v>
      </c>
      <c r="G18">
        <f>A18*D18*F18</f>
        <v>2</v>
      </c>
      <c r="H18" s="14">
        <f>rateLvTech</f>
        <v>28.51</v>
      </c>
      <c r="I18" s="14">
        <f>A18*0*0*IF(OR(LEFT(B18,2)="3)",LEFT(B18,2)="5)"),mult_lvRouting,IF(LEFT(B18,2)="4)",mult_endDevice,1))</f>
        <v>0</v>
      </c>
      <c r="J18" s="14">
        <f>A18*G18*H18*IF(OR(LEFT(B18,2)="3)",LEFT(B18,2)="5)"),mult_lvRouting,IF(LEFT(B18,2)="4)",mult_endDevice,1))</f>
        <v>57.02</v>
      </c>
      <c r="K18" s="14">
        <f>I18+J18</f>
        <v>57.02</v>
      </c>
    </row>
    <row r="19" spans="1:11" x14ac:dyDescent="0.45">
      <c r="A19">
        <f>1</f>
        <v>1</v>
      </c>
      <c r="B19" t="s">
        <v>283</v>
      </c>
      <c r="C19" t="s">
        <v>288</v>
      </c>
      <c r="D19">
        <f>1</f>
        <v>1</v>
      </c>
      <c r="E19" t="s">
        <v>259</v>
      </c>
      <c r="F19">
        <f>4</f>
        <v>4</v>
      </c>
      <c r="G19">
        <f>A19*D19*F19</f>
        <v>4</v>
      </c>
      <c r="H19" s="14">
        <f>rateDesign</f>
        <v>51.43</v>
      </c>
      <c r="I19" s="14">
        <f>A19*0*0*IF(OR(LEFT(B19,2)="3)",LEFT(B19,2)="5)"),mult_lvRouting,IF(LEFT(B19,2)="4)",mult_endDevice,1))</f>
        <v>0</v>
      </c>
      <c r="J19" s="14">
        <f>A19*G19*H19*IF(OR(LEFT(B19,2)="3)",LEFT(B19,2)="5)"),mult_lvRouting,IF(LEFT(B19,2)="4)",mult_endDevice,1))</f>
        <v>205.72</v>
      </c>
      <c r="K19" s="14">
        <f>I19+J19</f>
        <v>205.72</v>
      </c>
    </row>
    <row r="20" spans="1:11" x14ac:dyDescent="0.45">
      <c r="A20">
        <f>1</f>
        <v>1</v>
      </c>
      <c r="B20" t="s">
        <v>283</v>
      </c>
      <c r="C20" t="s">
        <v>308</v>
      </c>
      <c r="D20">
        <f>1</f>
        <v>1</v>
      </c>
      <c r="E20" t="s">
        <v>259</v>
      </c>
      <c r="F20">
        <f>4</f>
        <v>4</v>
      </c>
      <c r="G20">
        <f>A20*D20*F20</f>
        <v>4</v>
      </c>
      <c r="H20" s="14">
        <f>rateDesign</f>
        <v>51.43</v>
      </c>
      <c r="I20" s="14">
        <f>A20*0*0*IF(OR(LEFT(B20,2)="3)",LEFT(B20,2)="5)"),mult_lvRouting,IF(LEFT(B20,2)="4)",mult_endDevice,1))</f>
        <v>0</v>
      </c>
      <c r="J20" s="14">
        <f>A20*G20*H20*IF(OR(LEFT(B20,2)="3)",LEFT(B20,2)="5)"),mult_lvRouting,IF(LEFT(B20,2)="4)",mult_endDevice,1))</f>
        <v>205.72</v>
      </c>
      <c r="K20" s="14">
        <f>I20+J20</f>
        <v>205.72</v>
      </c>
    </row>
    <row r="22" spans="1:11" x14ac:dyDescent="0.45">
      <c r="C22" s="7" t="s">
        <v>290</v>
      </c>
      <c r="G22" s="13">
        <f>SUM(G4:G20)</f>
        <v>76.079393939393938</v>
      </c>
      <c r="H22" s="13"/>
      <c r="I22" s="15">
        <f>SUM(I4:I20)</f>
        <v>9228.5</v>
      </c>
      <c r="J22" s="15">
        <f>SUM(J4:J20)</f>
        <v>2868.5902712121206</v>
      </c>
      <c r="K22" s="15">
        <f>SUM(K4:K20)</f>
        <v>12097.090271212119</v>
      </c>
    </row>
    <row r="24" spans="1:11" x14ac:dyDescent="0.45">
      <c r="C24" t="s">
        <v>291</v>
      </c>
      <c r="G24">
        <f>SUMPRODUCT((LEFT(B4:B20,2)="1)")*G4:G20)+SUMPRODUCT((LEFT(B4:B20,2)="2)")*G4:G20)</f>
        <v>26.416666666666664</v>
      </c>
    </row>
    <row r="25" spans="1:11" x14ac:dyDescent="0.45">
      <c r="C25" t="s">
        <v>292</v>
      </c>
      <c r="G25">
        <f>G22-G24</f>
        <v>49.662727272727274</v>
      </c>
    </row>
    <row r="26" spans="1:11" x14ac:dyDescent="0.45">
      <c r="C26" t="s">
        <v>293</v>
      </c>
      <c r="G26">
        <f>G24/8</f>
        <v>3.302083333333333</v>
      </c>
    </row>
    <row r="27" spans="1:11" x14ac:dyDescent="0.45">
      <c r="C27" t="s">
        <v>294</v>
      </c>
      <c r="G27">
        <f>G25/8/crewSize</f>
        <v>2.0692803030303031</v>
      </c>
    </row>
    <row r="28" spans="1:11" x14ac:dyDescent="0.45">
      <c r="C28" s="7" t="s">
        <v>295</v>
      </c>
      <c r="G28" s="13">
        <f>G26+G27</f>
        <v>5.3713636363636361</v>
      </c>
    </row>
  </sheetData>
  <mergeCells count="1">
    <mergeCell ref="A1:K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884B9-C61D-4DBB-870A-8576A05B2E69}">
  <sheetPr codeName="Sheet7"/>
  <dimension ref="A1:K28"/>
  <sheetViews>
    <sheetView workbookViewId="0"/>
  </sheetViews>
  <sheetFormatPr defaultRowHeight="14.25" x14ac:dyDescent="0.45"/>
  <cols>
    <col min="1" max="1" width="7.59765625" customWidth="1"/>
    <col min="2" max="2" width="32.59765625" customWidth="1"/>
    <col min="3" max="3" width="42.59765625" customWidth="1"/>
    <col min="4" max="4" width="11.59765625" customWidth="1"/>
    <col min="5" max="5" width="7.59765625" customWidth="1"/>
    <col min="6" max="6" width="13.59765625" customWidth="1"/>
    <col min="7" max="8" width="11.59765625" customWidth="1"/>
    <col min="9" max="11" width="14.59765625" customWidth="1"/>
  </cols>
  <sheetData>
    <row r="1" spans="1:11" ht="16.899999999999999" x14ac:dyDescent="0.5">
      <c r="A1" s="11" t="s">
        <v>309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1" x14ac:dyDescent="0.45">
      <c r="A3" s="12" t="s">
        <v>246</v>
      </c>
      <c r="B3" s="12" t="s">
        <v>247</v>
      </c>
      <c r="C3" s="12" t="s">
        <v>248</v>
      </c>
      <c r="D3" s="12" t="s">
        <v>249</v>
      </c>
      <c r="E3" s="12" t="s">
        <v>250</v>
      </c>
      <c r="F3" s="12" t="s">
        <v>251</v>
      </c>
      <c r="G3" s="12" t="s">
        <v>252</v>
      </c>
      <c r="H3" s="12" t="s">
        <v>253</v>
      </c>
      <c r="I3" s="12" t="s">
        <v>254</v>
      </c>
      <c r="J3" s="12" t="s">
        <v>255</v>
      </c>
      <c r="K3" s="12" t="s">
        <v>256</v>
      </c>
    </row>
    <row r="4" spans="1:11" x14ac:dyDescent="0.45">
      <c r="A4">
        <f>1</f>
        <v>1</v>
      </c>
      <c r="B4" t="s">
        <v>257</v>
      </c>
      <c r="C4" t="s">
        <v>310</v>
      </c>
      <c r="D4">
        <f>1</f>
        <v>1</v>
      </c>
      <c r="E4" t="s">
        <v>259</v>
      </c>
      <c r="F4">
        <f>5+distanceFt/600</f>
        <v>5.833333333333333</v>
      </c>
      <c r="G4">
        <f>A4*D4*F4</f>
        <v>5.833333333333333</v>
      </c>
      <c r="H4" s="14">
        <f>rateDesign</f>
        <v>51.43</v>
      </c>
      <c r="I4" s="14">
        <f>A4*0*0*IF(OR(LEFT(B4,2)="3)",LEFT(B4,2)="5)"),mult_lvRouting,IF(LEFT(B4,2)="4)",mult_endDevice,1))</f>
        <v>0</v>
      </c>
      <c r="J4" s="14">
        <f>A4*G4*H4*IF(OR(LEFT(B4,2)="3)",LEFT(B4,2)="5)"),mult_lvRouting,IF(LEFT(B4,2)="4)",mult_endDevice,1))</f>
        <v>300.00833333333333</v>
      </c>
      <c r="K4" s="14">
        <f>I4+J4</f>
        <v>300.00833333333333</v>
      </c>
    </row>
    <row r="5" spans="1:11" x14ac:dyDescent="0.45">
      <c r="A5">
        <f>1</f>
        <v>1</v>
      </c>
      <c r="B5" t="s">
        <v>257</v>
      </c>
      <c r="C5" t="s">
        <v>298</v>
      </c>
      <c r="D5">
        <f>1</f>
        <v>1</v>
      </c>
      <c r="E5" t="s">
        <v>259</v>
      </c>
      <c r="F5">
        <f>4</f>
        <v>4</v>
      </c>
      <c r="G5">
        <f>A5*D5*F5</f>
        <v>4</v>
      </c>
      <c r="H5" s="14">
        <f>rateLvTech</f>
        <v>28.51</v>
      </c>
      <c r="I5" s="14">
        <f>A5*0*0*IF(OR(LEFT(B5,2)="3)",LEFT(B5,2)="5)"),mult_lvRouting,IF(LEFT(B5,2)="4)",mult_endDevice,1))</f>
        <v>0</v>
      </c>
      <c r="J5" s="14">
        <f>A5*G5*H5*IF(OR(LEFT(B5,2)="3)",LEFT(B5,2)="5)"),mult_lvRouting,IF(LEFT(B5,2)="4)",mult_endDevice,1))</f>
        <v>114.04</v>
      </c>
      <c r="K5" s="14">
        <f>I5+J5</f>
        <v>114.04</v>
      </c>
    </row>
    <row r="6" spans="1:11" x14ac:dyDescent="0.45">
      <c r="A6">
        <f>1</f>
        <v>1</v>
      </c>
      <c r="B6" t="s">
        <v>261</v>
      </c>
      <c r="C6" t="s">
        <v>262</v>
      </c>
      <c r="D6">
        <f>1</f>
        <v>1</v>
      </c>
      <c r="E6" t="s">
        <v>259</v>
      </c>
      <c r="F6">
        <f>2</f>
        <v>2</v>
      </c>
      <c r="G6">
        <f>A6*D6*F6</f>
        <v>2</v>
      </c>
      <c r="H6" s="14">
        <f>rateDesign</f>
        <v>51.43</v>
      </c>
      <c r="I6" s="14">
        <f>A6*0*0*IF(OR(LEFT(B6,2)="3)",LEFT(B6,2)="5)"),mult_lvRouting,IF(LEFT(B6,2)="4)",mult_endDevice,1))</f>
        <v>0</v>
      </c>
      <c r="J6" s="14">
        <f>A6*G6*H6*IF(OR(LEFT(B6,2)="3)",LEFT(B6,2)="5)"),mult_lvRouting,IF(LEFT(B6,2)="4)",mult_endDevice,1))</f>
        <v>102.86</v>
      </c>
      <c r="K6" s="14">
        <f>I6+J6</f>
        <v>102.86</v>
      </c>
    </row>
    <row r="7" spans="1:11" x14ac:dyDescent="0.45">
      <c r="A7">
        <f>1</f>
        <v>1</v>
      </c>
      <c r="B7" t="s">
        <v>261</v>
      </c>
      <c r="C7" t="s">
        <v>311</v>
      </c>
      <c r="D7">
        <f>1</f>
        <v>1</v>
      </c>
      <c r="E7" t="s">
        <v>259</v>
      </c>
      <c r="F7">
        <f>3.5</f>
        <v>3.5</v>
      </c>
      <c r="G7">
        <f>A7*D7*F7</f>
        <v>3.5</v>
      </c>
      <c r="H7" s="14">
        <f>rateDesign</f>
        <v>51.43</v>
      </c>
      <c r="I7" s="14">
        <f>A7*350*1*IF(OR(LEFT(B7,2)="3)",LEFT(B7,2)="5)"),mult_lvRouting,IF(LEFT(B7,2)="4)",mult_endDevice,1))</f>
        <v>350</v>
      </c>
      <c r="J7" s="14">
        <f>A7*G7*H7*IF(OR(LEFT(B7,2)="3)",LEFT(B7,2)="5)"),mult_lvRouting,IF(LEFT(B7,2)="4)",mult_endDevice,1))</f>
        <v>180.005</v>
      </c>
      <c r="K7" s="14">
        <f>I7+J7</f>
        <v>530.005</v>
      </c>
    </row>
    <row r="8" spans="1:11" x14ac:dyDescent="0.45">
      <c r="A8">
        <f>1</f>
        <v>1</v>
      </c>
      <c r="B8" t="s">
        <v>261</v>
      </c>
      <c r="C8" t="s">
        <v>265</v>
      </c>
      <c r="D8">
        <f>1</f>
        <v>1</v>
      </c>
      <c r="E8" t="s">
        <v>259</v>
      </c>
      <c r="F8">
        <f>6</f>
        <v>6</v>
      </c>
      <c r="G8">
        <f>A8*D8*F8</f>
        <v>6</v>
      </c>
      <c r="H8" s="14">
        <f>rateDesign</f>
        <v>51.43</v>
      </c>
      <c r="I8" s="14">
        <f>A8*0*0*IF(OR(LEFT(B8,2)="3)",LEFT(B8,2)="5)"),mult_lvRouting,IF(LEFT(B8,2)="4)",mult_endDevice,1))</f>
        <v>0</v>
      </c>
      <c r="J8" s="14">
        <f>A8*G8*H8*IF(OR(LEFT(B8,2)="3)",LEFT(B8,2)="5)"),mult_lvRouting,IF(LEFT(B8,2)="4)",mult_endDevice,1))</f>
        <v>308.58</v>
      </c>
      <c r="K8" s="14">
        <f>I8+J8</f>
        <v>308.58</v>
      </c>
    </row>
    <row r="9" spans="1:11" x14ac:dyDescent="0.45">
      <c r="A9">
        <f>1</f>
        <v>1</v>
      </c>
      <c r="B9" t="s">
        <v>266</v>
      </c>
      <c r="C9" t="s">
        <v>312</v>
      </c>
      <c r="D9">
        <f>cl4_runFt</f>
        <v>550</v>
      </c>
      <c r="E9" t="s">
        <v>6</v>
      </c>
      <c r="F9">
        <f>1/140</f>
        <v>7.1428571428571426E-3</v>
      </c>
      <c r="G9">
        <f>A9*D9*F9</f>
        <v>3.9285714285714284</v>
      </c>
      <c r="H9" s="14">
        <f>rateLvTech</f>
        <v>28.51</v>
      </c>
      <c r="I9" s="14">
        <f>A9*4.5*cl4_pathwaySupports*IF(OR(LEFT(B9,2)="3)",LEFT(B9,2)="5)"),mult_lvRouting,IF(LEFT(B9,2)="4)",mult_endDevice,1))</f>
        <v>310.5</v>
      </c>
      <c r="J9" s="14">
        <f>A9*G9*H9*IF(OR(LEFT(B9,2)="3)",LEFT(B9,2)="5)"),mult_lvRouting,IF(LEFT(B9,2)="4)",mult_endDevice,1))</f>
        <v>112.00357142857143</v>
      </c>
      <c r="K9" s="14">
        <f>I9+J9</f>
        <v>422.50357142857143</v>
      </c>
    </row>
    <row r="10" spans="1:11" x14ac:dyDescent="0.45">
      <c r="A10">
        <f>1</f>
        <v>1</v>
      </c>
      <c r="B10" t="s">
        <v>266</v>
      </c>
      <c r="C10" t="s">
        <v>270</v>
      </c>
      <c r="D10">
        <f>cl4_penetrations</f>
        <v>3</v>
      </c>
      <c r="E10" t="s">
        <v>269</v>
      </c>
      <c r="F10">
        <f>0.85</f>
        <v>0.85</v>
      </c>
      <c r="G10">
        <f>A10*D10*F10</f>
        <v>2.5499999999999998</v>
      </c>
      <c r="H10" s="14">
        <f>rateLaborer</f>
        <v>22.47</v>
      </c>
      <c r="I10" s="14">
        <f>A10*45*cl4_penetrations*IF(OR(LEFT(B10,2)="3)",LEFT(B10,2)="5)"),mult_lvRouting,IF(LEFT(B10,2)="4)",mult_endDevice,1))</f>
        <v>135</v>
      </c>
      <c r="J10" s="14">
        <f>A10*G10*H10*IF(OR(LEFT(B10,2)="3)",LEFT(B10,2)="5)"),mult_lvRouting,IF(LEFT(B10,2)="4)",mult_endDevice,1))</f>
        <v>57.29849999999999</v>
      </c>
      <c r="K10" s="14">
        <f>I10+J10</f>
        <v>192.29849999999999</v>
      </c>
    </row>
    <row r="11" spans="1:11" x14ac:dyDescent="0.45">
      <c r="A11">
        <f>IF(lv_trenchRate&gt;0,1,0)</f>
        <v>0</v>
      </c>
      <c r="B11" t="s">
        <v>266</v>
      </c>
      <c r="C11" t="s">
        <v>271</v>
      </c>
      <c r="D11">
        <f>cl4_runFt</f>
        <v>550</v>
      </c>
      <c r="E11" t="s">
        <v>6</v>
      </c>
      <c r="F11">
        <f>lv_trenchLabor</f>
        <v>0</v>
      </c>
      <c r="G11">
        <f>A11*D11*F11</f>
        <v>0</v>
      </c>
      <c r="H11" s="14">
        <f>rateLaborer</f>
        <v>22.47</v>
      </c>
      <c r="I11" s="14">
        <f>A11*lv_trenchRate*cl4_runFt*IF(OR(LEFT(B11,2)="3)",LEFT(B11,2)="5)"),mult_lvRouting,IF(LEFT(B11,2)="4)",mult_endDevice,1))</f>
        <v>0</v>
      </c>
      <c r="J11" s="14">
        <f>A11*G11*H11*IF(OR(LEFT(B11,2)="3)",LEFT(B11,2)="5)"),mult_lvRouting,IF(LEFT(B11,2)="4)",mult_endDevice,1))</f>
        <v>0</v>
      </c>
      <c r="K11" s="14">
        <f>I11+J11</f>
        <v>0</v>
      </c>
    </row>
    <row r="12" spans="1:11" x14ac:dyDescent="0.45">
      <c r="A12">
        <f>1</f>
        <v>1</v>
      </c>
      <c r="B12" t="s">
        <v>273</v>
      </c>
      <c r="C12" t="s">
        <v>313</v>
      </c>
      <c r="D12">
        <f>cl4_channels</f>
        <v>2</v>
      </c>
      <c r="E12" t="s">
        <v>314</v>
      </c>
      <c r="F12">
        <f>1.5</f>
        <v>1.5</v>
      </c>
      <c r="G12">
        <f>A12*D12*F12</f>
        <v>3</v>
      </c>
      <c r="H12" s="14">
        <f>rateLvTech</f>
        <v>28.51</v>
      </c>
      <c r="I12" s="14">
        <f>A12*2600*cl4_channels*IF(OR(LEFT(B12,2)="3)",LEFT(B12,2)="5)"),mult_lvRouting,IF(LEFT(B12,2)="4)",mult_endDevice,1))</f>
        <v>5720.0000000000009</v>
      </c>
      <c r="J12" s="14">
        <f>A12*G12*H12*IF(OR(LEFT(B12,2)="3)",LEFT(B12,2)="5)"),mult_lvRouting,IF(LEFT(B12,2)="4)",mult_endDevice,1))</f>
        <v>94.083000000000013</v>
      </c>
      <c r="K12" s="14">
        <f>I12+J12</f>
        <v>5814.0830000000005</v>
      </c>
    </row>
    <row r="13" spans="1:11" x14ac:dyDescent="0.45">
      <c r="A13">
        <f>1</f>
        <v>1</v>
      </c>
      <c r="B13" t="s">
        <v>273</v>
      </c>
      <c r="C13" t="s">
        <v>315</v>
      </c>
      <c r="D13">
        <f>cl4_receivers</f>
        <v>1</v>
      </c>
      <c r="E13" t="s">
        <v>269</v>
      </c>
      <c r="F13">
        <f>1</f>
        <v>1</v>
      </c>
      <c r="G13">
        <f>A13*D13*F13</f>
        <v>1</v>
      </c>
      <c r="H13" s="14">
        <f>rateLvTech</f>
        <v>28.51</v>
      </c>
      <c r="I13" s="14">
        <f>A13*1650*cl4_receivers*IF(OR(LEFT(B13,2)="3)",LEFT(B13,2)="5)"),mult_lvRouting,IF(LEFT(B13,2)="4)",mult_endDevice,1))</f>
        <v>1815.0000000000002</v>
      </c>
      <c r="J13" s="14">
        <f>A13*G13*H13*IF(OR(LEFT(B13,2)="3)",LEFT(B13,2)="5)"),mult_lvRouting,IF(LEFT(B13,2)="4)",mult_endDevice,1))</f>
        <v>31.361000000000004</v>
      </c>
      <c r="K13" s="14">
        <f>I13+J13</f>
        <v>1846.3610000000003</v>
      </c>
    </row>
    <row r="14" spans="1:11" x14ac:dyDescent="0.45">
      <c r="A14">
        <f>1</f>
        <v>1</v>
      </c>
      <c r="B14" t="s">
        <v>279</v>
      </c>
      <c r="C14" t="s">
        <v>316</v>
      </c>
      <c r="D14">
        <f>cl4_cableFt</f>
        <v>550</v>
      </c>
      <c r="E14" t="s">
        <v>6</v>
      </c>
      <c r="F14">
        <f>1/110</f>
        <v>9.0909090909090905E-3</v>
      </c>
      <c r="G14">
        <f>A14*D14*F14</f>
        <v>5</v>
      </c>
      <c r="H14" s="14">
        <f>rateLvTech</f>
        <v>28.51</v>
      </c>
      <c r="I14" s="14">
        <f>A14*cl4_cableRate*cl4_cableFt*IF(OR(LEFT(B14,2)="3)",LEFT(B14,2)="5)"),mult_lvRouting,IF(LEFT(B14,2)="4)",mult_endDevice,1))</f>
        <v>671</v>
      </c>
      <c r="J14" s="14">
        <f>A14*G14*H14*IF(OR(LEFT(B14,2)="3)",LEFT(B14,2)="5)"),mult_lvRouting,IF(LEFT(B14,2)="4)",mult_endDevice,1))</f>
        <v>142.55000000000001</v>
      </c>
      <c r="K14" s="14">
        <f>I14+J14</f>
        <v>813.55</v>
      </c>
    </row>
    <row r="15" spans="1:11" x14ac:dyDescent="0.45">
      <c r="A15">
        <f>1</f>
        <v>1</v>
      </c>
      <c r="B15" t="s">
        <v>279</v>
      </c>
      <c r="C15" t="s">
        <v>304</v>
      </c>
      <c r="D15">
        <f>1</f>
        <v>1</v>
      </c>
      <c r="E15" t="s">
        <v>259</v>
      </c>
      <c r="F15">
        <f>2+cl4_channels*0.3</f>
        <v>2.6</v>
      </c>
      <c r="G15">
        <f>A15*D15*F15</f>
        <v>2.6</v>
      </c>
      <c r="H15" s="14">
        <f>rateLvTech</f>
        <v>28.51</v>
      </c>
      <c r="I15" s="14">
        <f>A15*180*1*IF(OR(LEFT(B15,2)="3)",LEFT(B15,2)="5)"),mult_lvRouting,IF(LEFT(B15,2)="4)",mult_endDevice,1))</f>
        <v>180</v>
      </c>
      <c r="J15" s="14">
        <f>A15*G15*H15*IF(OR(LEFT(B15,2)="3)",LEFT(B15,2)="5)"),mult_lvRouting,IF(LEFT(B15,2)="4)",mult_endDevice,1))</f>
        <v>74.126000000000005</v>
      </c>
      <c r="K15" s="14">
        <f>I15+J15</f>
        <v>254.126</v>
      </c>
    </row>
    <row r="16" spans="1:11" x14ac:dyDescent="0.45">
      <c r="A16">
        <f>1</f>
        <v>1</v>
      </c>
      <c r="B16" t="s">
        <v>279</v>
      </c>
      <c r="C16" t="s">
        <v>305</v>
      </c>
      <c r="D16">
        <f>1</f>
        <v>1</v>
      </c>
      <c r="E16" t="s">
        <v>259</v>
      </c>
      <c r="F16">
        <f>1.5</f>
        <v>1.5</v>
      </c>
      <c r="G16">
        <f>A16*D16*F16</f>
        <v>1.5</v>
      </c>
      <c r="H16" s="14">
        <f>rateLvTech</f>
        <v>28.51</v>
      </c>
      <c r="I16" s="14">
        <f>A16*65*1*IF(OR(LEFT(B16,2)="3)",LEFT(B16,2)="5)"),mult_lvRouting,IF(LEFT(B16,2)="4)",mult_endDevice,1))</f>
        <v>65</v>
      </c>
      <c r="J16" s="14">
        <f>A16*G16*H16*IF(OR(LEFT(B16,2)="3)",LEFT(B16,2)="5)"),mult_lvRouting,IF(LEFT(B16,2)="4)",mult_endDevice,1))</f>
        <v>42.765000000000001</v>
      </c>
      <c r="K16" s="14">
        <f>I16+J16</f>
        <v>107.765</v>
      </c>
    </row>
    <row r="17" spans="1:11" x14ac:dyDescent="0.45">
      <c r="A17">
        <f>1</f>
        <v>1</v>
      </c>
      <c r="B17" t="s">
        <v>283</v>
      </c>
      <c r="C17" t="s">
        <v>317</v>
      </c>
      <c r="D17">
        <f>1</f>
        <v>1</v>
      </c>
      <c r="E17" t="s">
        <v>259</v>
      </c>
      <c r="F17">
        <f>2+cl4_channels*0.8</f>
        <v>3.6</v>
      </c>
      <c r="G17">
        <f>A17*D17*F17</f>
        <v>3.6</v>
      </c>
      <c r="H17" s="14">
        <f>rateLvTech</f>
        <v>28.51</v>
      </c>
      <c r="I17" s="14">
        <f>A17*90*1*IF(OR(LEFT(B17,2)="3)",LEFT(B17,2)="5)"),mult_lvRouting,IF(LEFT(B17,2)="4)",mult_endDevice,1))</f>
        <v>90</v>
      </c>
      <c r="J17" s="14">
        <f>A17*G17*H17*IF(OR(LEFT(B17,2)="3)",LEFT(B17,2)="5)"),mult_lvRouting,IF(LEFT(B17,2)="4)",mult_endDevice,1))</f>
        <v>102.63600000000001</v>
      </c>
      <c r="K17" s="14">
        <f>I17+J17</f>
        <v>192.63600000000002</v>
      </c>
    </row>
    <row r="18" spans="1:11" x14ac:dyDescent="0.45">
      <c r="A18">
        <f>1</f>
        <v>1</v>
      </c>
      <c r="B18" t="s">
        <v>283</v>
      </c>
      <c r="C18" t="s">
        <v>307</v>
      </c>
      <c r="D18">
        <f>1</f>
        <v>1</v>
      </c>
      <c r="E18" t="s">
        <v>259</v>
      </c>
      <c r="F18">
        <f>2+cl4_channels*0.4</f>
        <v>2.8</v>
      </c>
      <c r="G18">
        <f>A18*D18*F18</f>
        <v>2.8</v>
      </c>
      <c r="H18" s="14">
        <f>rateLvTech</f>
        <v>28.51</v>
      </c>
      <c r="I18" s="14">
        <f>A18*0*0*IF(OR(LEFT(B18,2)="3)",LEFT(B18,2)="5)"),mult_lvRouting,IF(LEFT(B18,2)="4)",mult_endDevice,1))</f>
        <v>0</v>
      </c>
      <c r="J18" s="14">
        <f>A18*G18*H18*IF(OR(LEFT(B18,2)="3)",LEFT(B18,2)="5)"),mult_lvRouting,IF(LEFT(B18,2)="4)",mult_endDevice,1))</f>
        <v>79.828000000000003</v>
      </c>
      <c r="K18" s="14">
        <f>I18+J18</f>
        <v>79.828000000000003</v>
      </c>
    </row>
    <row r="19" spans="1:11" x14ac:dyDescent="0.45">
      <c r="A19">
        <f>1</f>
        <v>1</v>
      </c>
      <c r="B19" t="s">
        <v>283</v>
      </c>
      <c r="C19" t="s">
        <v>288</v>
      </c>
      <c r="D19">
        <f>1</f>
        <v>1</v>
      </c>
      <c r="E19" t="s">
        <v>259</v>
      </c>
      <c r="F19">
        <f>6</f>
        <v>6</v>
      </c>
      <c r="G19">
        <f>A19*D19*F19</f>
        <v>6</v>
      </c>
      <c r="H19" s="14">
        <f>rateDesign</f>
        <v>51.43</v>
      </c>
      <c r="I19" s="14">
        <f>A19*0*0*IF(OR(LEFT(B19,2)="3)",LEFT(B19,2)="5)"),mult_lvRouting,IF(LEFT(B19,2)="4)",mult_endDevice,1))</f>
        <v>0</v>
      </c>
      <c r="J19" s="14">
        <f>A19*G19*H19*IF(OR(LEFT(B19,2)="3)",LEFT(B19,2)="5)"),mult_lvRouting,IF(LEFT(B19,2)="4)",mult_endDevice,1))</f>
        <v>308.58</v>
      </c>
      <c r="K19" s="14">
        <f>I19+J19</f>
        <v>308.58</v>
      </c>
    </row>
    <row r="20" spans="1:11" x14ac:dyDescent="0.45">
      <c r="A20">
        <f>1</f>
        <v>1</v>
      </c>
      <c r="B20" t="s">
        <v>283</v>
      </c>
      <c r="C20" t="s">
        <v>308</v>
      </c>
      <c r="D20">
        <f>1</f>
        <v>1</v>
      </c>
      <c r="E20" t="s">
        <v>259</v>
      </c>
      <c r="F20">
        <f>4</f>
        <v>4</v>
      </c>
      <c r="G20">
        <f>A20*D20*F20</f>
        <v>4</v>
      </c>
      <c r="H20" s="14">
        <f>rateDesign</f>
        <v>51.43</v>
      </c>
      <c r="I20" s="14">
        <f>A20*0*0*IF(OR(LEFT(B20,2)="3)",LEFT(B20,2)="5)"),mult_lvRouting,IF(LEFT(B20,2)="4)",mult_endDevice,1))</f>
        <v>0</v>
      </c>
      <c r="J20" s="14">
        <f>A20*G20*H20*IF(OR(LEFT(B20,2)="3)",LEFT(B20,2)="5)"),mult_lvRouting,IF(LEFT(B20,2)="4)",mult_endDevice,1))</f>
        <v>205.72</v>
      </c>
      <c r="K20" s="14">
        <f>I20+J20</f>
        <v>205.72</v>
      </c>
    </row>
    <row r="22" spans="1:11" x14ac:dyDescent="0.45">
      <c r="C22" s="7" t="s">
        <v>290</v>
      </c>
      <c r="G22" s="13">
        <f>SUM(G4:G20)</f>
        <v>57.311904761904756</v>
      </c>
      <c r="H22" s="13"/>
      <c r="I22" s="15">
        <f>SUM(I4:I20)</f>
        <v>9336.5000000000018</v>
      </c>
      <c r="J22" s="15">
        <f>SUM(J4:J20)</f>
        <v>2256.4444047619045</v>
      </c>
      <c r="K22" s="15">
        <f>SUM(K4:K20)</f>
        <v>11592.944404761904</v>
      </c>
    </row>
    <row r="24" spans="1:11" x14ac:dyDescent="0.45">
      <c r="C24" t="s">
        <v>291</v>
      </c>
      <c r="G24">
        <f>SUMPRODUCT((LEFT(B4:B20,2)="1)")*G4:G20)+SUMPRODUCT((LEFT(B4:B20,2)="2)")*G4:G20)</f>
        <v>21.333333333333332</v>
      </c>
    </row>
    <row r="25" spans="1:11" x14ac:dyDescent="0.45">
      <c r="C25" t="s">
        <v>292</v>
      </c>
      <c r="G25">
        <f>G22-G24</f>
        <v>35.978571428571428</v>
      </c>
    </row>
    <row r="26" spans="1:11" x14ac:dyDescent="0.45">
      <c r="C26" t="s">
        <v>293</v>
      </c>
      <c r="G26">
        <f>G24/8</f>
        <v>2.6666666666666665</v>
      </c>
    </row>
    <row r="27" spans="1:11" x14ac:dyDescent="0.45">
      <c r="C27" t="s">
        <v>294</v>
      </c>
      <c r="G27">
        <f>G25/8/crewSize</f>
        <v>1.4991071428571427</v>
      </c>
    </row>
    <row r="28" spans="1:11" x14ac:dyDescent="0.45">
      <c r="C28" s="7" t="s">
        <v>295</v>
      </c>
      <c r="G28" s="13">
        <f>G26+G27</f>
        <v>4.1657738095238095</v>
      </c>
    </row>
  </sheetData>
  <mergeCells count="1">
    <mergeCell ref="A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Summary</vt:lpstr>
      <vt:lpstr>Inputs</vt:lpstr>
      <vt:lpstr>Lookups</vt:lpstr>
      <vt:lpstr>Derived</vt:lpstr>
      <vt:lpstr>AC_Calc</vt:lpstr>
      <vt:lpstr>CL2_Calc</vt:lpstr>
      <vt:lpstr>CL4_Calc</vt:lpstr>
      <vt:lpstr>ac_awg</vt:lpstr>
      <vt:lpstr>ac_cableFt</vt:lpstr>
      <vt:lpstr>ac_cableRate</vt:lpstr>
      <vt:lpstr>AC_Calc_Hours</vt:lpstr>
      <vt:lpstr>AC_Calc_Labor</vt:lpstr>
      <vt:lpstr>AC_Calc_Material</vt:lpstr>
      <vt:lpstr>AC_Calc_Total</vt:lpstr>
      <vt:lpstr>AC_Calc_TotalDays</vt:lpstr>
      <vt:lpstr>ac_conduitFt</vt:lpstr>
      <vt:lpstr>ac_conduitLabor</vt:lpstr>
      <vt:lpstr>ac_conduitRate</vt:lpstr>
      <vt:lpstr>ac_conduitRow</vt:lpstr>
      <vt:lpstr>ac_conduitSize</vt:lpstr>
      <vt:lpstr>ac_coreDrillQty</vt:lpstr>
      <vt:lpstr>ac_effConduitLabor</vt:lpstr>
      <vt:lpstr>ac_effConduitRate</vt:lpstr>
      <vt:lpstr>ac_isFull</vt:lpstr>
      <vt:lpstr>ac_isSimple</vt:lpstr>
      <vt:lpstr>ac_longRun</vt:lpstr>
      <vt:lpstr>ac_pullBoxQty</vt:lpstr>
      <vt:lpstr>ac_trenchKey</vt:lpstr>
      <vt:lpstr>ac_trenchLabor</vt:lpstr>
      <vt:lpstr>ac_trenchRate</vt:lpstr>
      <vt:lpstr>ac_useOverride</vt:lpstr>
      <vt:lpstr>ac_wireCount</vt:lpstr>
      <vt:lpstr>cl2_avgPerPull</vt:lpstr>
      <vt:lpstr>cl2_awg</vt:lpstr>
      <vt:lpstr>cl2_cablePairFt</vt:lpstr>
      <vt:lpstr>cl2_cableRate</vt:lpstr>
      <vt:lpstr>cl2_cableRow</vt:lpstr>
      <vt:lpstr>CL2_Calc_Hours</vt:lpstr>
      <vt:lpstr>CL2_Calc_Labor</vt:lpstr>
      <vt:lpstr>CL2_Calc_Material</vt:lpstr>
      <vt:lpstr>CL2_Calc_Total</vt:lpstr>
      <vt:lpstr>CL2_Calc_TotalDays</vt:lpstr>
      <vt:lpstr>cl2_conductors</vt:lpstr>
      <vt:lpstr>cl2_dcHubQty</vt:lpstr>
      <vt:lpstr>cl2_dist</vt:lpstr>
      <vt:lpstr>cl2_jHookQty</vt:lpstr>
      <vt:lpstr>cl2_laborPerFtGroup</vt:lpstr>
      <vt:lpstr>cl2_ohms</vt:lpstr>
      <vt:lpstr>cl2_pairs</vt:lpstr>
      <vt:lpstr>cl2_pathwayFt</vt:lpstr>
      <vt:lpstr>cl2_penetrations</vt:lpstr>
      <vt:lpstr>cl2_pullEff</vt:lpstr>
      <vt:lpstr>cl2_pullGroups</vt:lpstr>
      <vt:lpstr>cl2_pullHrs</vt:lpstr>
      <vt:lpstr>cl4_cableFt</vt:lpstr>
      <vt:lpstr>cl4_cableRate</vt:lpstr>
      <vt:lpstr>CL4_Calc_Hours</vt:lpstr>
      <vt:lpstr>CL4_Calc_Labor</vt:lpstr>
      <vt:lpstr>CL4_Calc_Material</vt:lpstr>
      <vt:lpstr>CL4_Calc_Total</vt:lpstr>
      <vt:lpstr>CL4_Calc_TotalDays</vt:lpstr>
      <vt:lpstr>cl4_channels</vt:lpstr>
      <vt:lpstr>cl4_conductors</vt:lpstr>
      <vt:lpstr>cl4_pairs</vt:lpstr>
      <vt:lpstr>cl4_pathwaySupports</vt:lpstr>
      <vt:lpstr>cl4_penetrations</vt:lpstr>
      <vt:lpstr>cl4_receivers</vt:lpstr>
      <vt:lpstr>cl4_runFt</vt:lpstr>
      <vt:lpstr>cl4_vdrop</vt:lpstr>
      <vt:lpstr>cl4_veff</vt:lpstr>
      <vt:lpstr>cl4_wattsPerPair</vt:lpstr>
      <vt:lpstr>conduitOverride</vt:lpstr>
      <vt:lpstr>crewSize</vt:lpstr>
      <vt:lpstr>distanceFt</vt:lpstr>
      <vt:lpstr>endDevice</vt:lpstr>
      <vt:lpstr>inBuildingType</vt:lpstr>
      <vt:lpstr>installType</vt:lpstr>
      <vt:lpstr>LK_ACCable</vt:lpstr>
      <vt:lpstr>LK_CL2Cable</vt:lpstr>
      <vt:lpstr>LK_Conduit</vt:lpstr>
      <vt:lpstr>LK_LVTrench</vt:lpstr>
      <vt:lpstr>LK_Mults</vt:lpstr>
      <vt:lpstr>LK_PwrTrench</vt:lpstr>
      <vt:lpstr>lv_trenchLabor</vt:lpstr>
      <vt:lpstr>lv_trenchRate</vt:lpstr>
      <vt:lpstr>mult_acRouting</vt:lpstr>
      <vt:lpstr>mult_endDevice</vt:lpstr>
      <vt:lpstr>mult_indoor</vt:lpstr>
      <vt:lpstr>mult_installBase</vt:lpstr>
      <vt:lpstr>mult_lvRouting</vt:lpstr>
      <vt:lpstr>mult_outdoor</vt:lpstr>
      <vt:lpstr>outdoorConduitSize</vt:lpstr>
      <vt:lpstr>outdoorType</vt:lpstr>
      <vt:lpstr>powerW</vt:lpstr>
      <vt:lpstr>rateDesign</vt:lpstr>
      <vt:lpstr>rateDesigner</vt:lpstr>
      <vt:lpstr>rateElectrician</vt:lpstr>
      <vt:lpstr>rateLaborer</vt:lpstr>
      <vt:lpstr>rateLvTech</vt:lpstr>
      <vt:lpstr>rateWait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Chukwuma Agba</dc:creator>
  <cp:lastModifiedBy>Chukwuma Agba</cp:lastModifiedBy>
  <dcterms:created xsi:type="dcterms:W3CDTF">2026-05-05T19:55:02Z</dcterms:created>
  <dcterms:modified xsi:type="dcterms:W3CDTF">2026-05-05T19:55:08Z</dcterms:modified>
</cp:coreProperties>
</file>