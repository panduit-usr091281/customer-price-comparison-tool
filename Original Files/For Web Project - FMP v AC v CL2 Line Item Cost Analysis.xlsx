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anduit-my.sharepoint.com/personal/usr091281_panduit_com/Documents/Documents/Cost Analysis Web Tool/"/>
    </mc:Choice>
  </mc:AlternateContent>
  <xr:revisionPtr revIDLastSave="0" documentId="8_{97F38D13-12CA-48A2-8317-F1847B91BE5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Value Analysis" sheetId="1" r:id="rId1"/>
    <sheet name="Indoor Installation Full" sheetId="18" r:id="rId2"/>
    <sheet name="Outdoor Installation" sheetId="25" r:id="rId3"/>
    <sheet name="Outdoor vs Class 2" sheetId="30" r:id="rId4"/>
    <sheet name="Materials Pricing" sheetId="2" r:id="rId5"/>
    <sheet name="SoW Template" sheetId="3" r:id="rId6"/>
    <sheet name="Trenching Costs (estimated)" sheetId="2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30" l="1"/>
  <c r="P163" i="30"/>
  <c r="O163" i="30"/>
  <c r="I161" i="30"/>
  <c r="J161" i="30"/>
  <c r="K161" i="30"/>
  <c r="L161" i="30"/>
  <c r="M161" i="30"/>
  <c r="N161" i="30"/>
  <c r="O161" i="30"/>
  <c r="P161" i="30"/>
  <c r="H161" i="30"/>
  <c r="I127" i="30"/>
  <c r="J127" i="30" s="1"/>
  <c r="N144" i="30"/>
  <c r="L144" i="30"/>
  <c r="G143" i="30"/>
  <c r="G142" i="30"/>
  <c r="K140" i="30" s="1"/>
  <c r="G141" i="30"/>
  <c r="H140" i="30" s="1"/>
  <c r="O140" i="30" s="1"/>
  <c r="M140" i="30"/>
  <c r="J140" i="30"/>
  <c r="G139" i="30"/>
  <c r="K137" i="30" s="1"/>
  <c r="G138" i="30"/>
  <c r="M137" i="30"/>
  <c r="J137" i="30"/>
  <c r="G136" i="30"/>
  <c r="G135" i="30"/>
  <c r="G134" i="30"/>
  <c r="G133" i="30"/>
  <c r="M132" i="30"/>
  <c r="K132" i="30"/>
  <c r="J132" i="30"/>
  <c r="I132" i="30"/>
  <c r="G131" i="30"/>
  <c r="K130" i="30" s="1"/>
  <c r="O130" i="30"/>
  <c r="M130" i="30"/>
  <c r="G129" i="30"/>
  <c r="G128" i="30"/>
  <c r="M119" i="30"/>
  <c r="I70" i="30"/>
  <c r="I111" i="30"/>
  <c r="J111" i="30" s="1"/>
  <c r="M109" i="30"/>
  <c r="I106" i="30"/>
  <c r="J106" i="30" s="1"/>
  <c r="N124" i="30"/>
  <c r="L124" i="30"/>
  <c r="G123" i="30"/>
  <c r="G122" i="30"/>
  <c r="G121" i="30"/>
  <c r="G120" i="30"/>
  <c r="J119" i="30"/>
  <c r="G118" i="30"/>
  <c r="K116" i="30" s="1"/>
  <c r="G117" i="30"/>
  <c r="M116" i="30"/>
  <c r="J116" i="30"/>
  <c r="G115" i="30"/>
  <c r="G114" i="30"/>
  <c r="K111" i="30" s="1"/>
  <c r="G113" i="30"/>
  <c r="G112" i="30"/>
  <c r="H111" i="30" s="1"/>
  <c r="M111" i="30"/>
  <c r="G110" i="30"/>
  <c r="K109" i="30" s="1"/>
  <c r="O109" i="30"/>
  <c r="G108" i="30"/>
  <c r="G107" i="30"/>
  <c r="G87" i="30"/>
  <c r="J86" i="30"/>
  <c r="N103" i="30"/>
  <c r="L103" i="30"/>
  <c r="G102" i="30"/>
  <c r="G101" i="30"/>
  <c r="G100" i="30"/>
  <c r="M99" i="30"/>
  <c r="J99" i="30"/>
  <c r="G98" i="30"/>
  <c r="K96" i="30" s="1"/>
  <c r="G97" i="30"/>
  <c r="M96" i="30"/>
  <c r="J96" i="30"/>
  <c r="G95" i="30"/>
  <c r="G94" i="30"/>
  <c r="G93" i="30"/>
  <c r="H92" i="30" s="1"/>
  <c r="M92" i="30"/>
  <c r="I92" i="30" a="1"/>
  <c r="I92" i="30" s="1"/>
  <c r="J92" i="30" s="1"/>
  <c r="G91" i="30"/>
  <c r="K90" i="30" s="1"/>
  <c r="O90" i="30"/>
  <c r="M90" i="30"/>
  <c r="G89" i="30"/>
  <c r="G88" i="30"/>
  <c r="J78" i="30"/>
  <c r="G81" i="30"/>
  <c r="G80" i="30"/>
  <c r="G79" i="30"/>
  <c r="M75" i="30"/>
  <c r="J75" i="30"/>
  <c r="G77" i="30"/>
  <c r="K75" i="30" s="1"/>
  <c r="G76" i="30"/>
  <c r="G72" i="30"/>
  <c r="M41" i="30"/>
  <c r="G61" i="30"/>
  <c r="J54" i="30"/>
  <c r="P132" i="30" l="1"/>
  <c r="K99" i="30"/>
  <c r="P130" i="30"/>
  <c r="P116" i="30"/>
  <c r="P137" i="30"/>
  <c r="P140" i="30"/>
  <c r="H132" i="30"/>
  <c r="O132" i="30"/>
  <c r="H127" i="30"/>
  <c r="K127" i="30" s="1"/>
  <c r="I144" i="30"/>
  <c r="M127" i="30"/>
  <c r="M144" i="30" s="1"/>
  <c r="J144" i="30"/>
  <c r="H137" i="30"/>
  <c r="O137" i="30" s="1"/>
  <c r="K119" i="30"/>
  <c r="P119" i="30"/>
  <c r="P111" i="30"/>
  <c r="P109" i="30"/>
  <c r="H119" i="30"/>
  <c r="O119" i="30" s="1"/>
  <c r="H106" i="30"/>
  <c r="K106" i="30" s="1"/>
  <c r="I124" i="30"/>
  <c r="O111" i="30"/>
  <c r="M106" i="30"/>
  <c r="M124" i="30" s="1"/>
  <c r="J124" i="30"/>
  <c r="H116" i="30"/>
  <c r="O116" i="30" s="1"/>
  <c r="H86" i="30"/>
  <c r="K86" i="30" s="1"/>
  <c r="H78" i="30"/>
  <c r="O78" i="30" s="1"/>
  <c r="K92" i="30"/>
  <c r="P92" i="30" s="1"/>
  <c r="H99" i="30"/>
  <c r="O99" i="30" s="1"/>
  <c r="P99" i="30"/>
  <c r="P96" i="30"/>
  <c r="H75" i="30"/>
  <c r="O75" i="30" s="1"/>
  <c r="P90" i="30"/>
  <c r="O92" i="30"/>
  <c r="M86" i="30"/>
  <c r="M103" i="30" s="1"/>
  <c r="J103" i="30"/>
  <c r="I103" i="30"/>
  <c r="H96" i="30"/>
  <c r="O96" i="30" s="1"/>
  <c r="P75" i="30"/>
  <c r="G57" i="30"/>
  <c r="G56" i="30"/>
  <c r="G55" i="30"/>
  <c r="J32" i="30"/>
  <c r="I22" i="30"/>
  <c r="N159" i="30"/>
  <c r="L159" i="30"/>
  <c r="I159" i="30"/>
  <c r="G158" i="30"/>
  <c r="K156" i="30" s="1"/>
  <c r="P156" i="30" s="1"/>
  <c r="G157" i="30"/>
  <c r="H156" i="30" s="1"/>
  <c r="O156" i="30" s="1"/>
  <c r="G155" i="30"/>
  <c r="K153" i="30" s="1"/>
  <c r="G154" i="30"/>
  <c r="H153" i="30" s="1"/>
  <c r="M153" i="30"/>
  <c r="J153" i="30"/>
  <c r="G152" i="30"/>
  <c r="K150" i="30" s="1"/>
  <c r="G151" i="30"/>
  <c r="H150" i="30" s="1"/>
  <c r="M150" i="30"/>
  <c r="J150" i="30"/>
  <c r="G149" i="30"/>
  <c r="K147" i="30" s="1"/>
  <c r="G148" i="30"/>
  <c r="H147" i="30" s="1"/>
  <c r="M147" i="30"/>
  <c r="J147" i="30"/>
  <c r="N83" i="30"/>
  <c r="G82" i="30"/>
  <c r="K78" i="30" s="1"/>
  <c r="M78" i="30"/>
  <c r="G74" i="30"/>
  <c r="G73" i="30"/>
  <c r="G71" i="30"/>
  <c r="L83" i="30"/>
  <c r="J70" i="30"/>
  <c r="G69" i="30"/>
  <c r="K68" i="30" s="1"/>
  <c r="O68" i="30"/>
  <c r="M68" i="30"/>
  <c r="G67" i="30"/>
  <c r="G66" i="30"/>
  <c r="I65" i="30"/>
  <c r="J65" i="30" s="1"/>
  <c r="N62" i="30"/>
  <c r="L62" i="30"/>
  <c r="G60" i="30"/>
  <c r="G59" i="30"/>
  <c r="G58" i="30"/>
  <c r="M54" i="30"/>
  <c r="G53" i="30"/>
  <c r="K51" i="30" s="1"/>
  <c r="G52" i="30"/>
  <c r="H51" i="30" s="1"/>
  <c r="M51" i="30"/>
  <c r="J51" i="30"/>
  <c r="I62" i="30"/>
  <c r="G50" i="30"/>
  <c r="H49" i="30" s="1"/>
  <c r="J49" i="30"/>
  <c r="M49" i="30" s="1"/>
  <c r="G48" i="30"/>
  <c r="G47" i="30"/>
  <c r="J46" i="30"/>
  <c r="M46" i="30" s="1"/>
  <c r="G45" i="30"/>
  <c r="G44" i="30"/>
  <c r="G43" i="30"/>
  <c r="G42" i="30"/>
  <c r="J41" i="30"/>
  <c r="N38" i="30"/>
  <c r="L38" i="30"/>
  <c r="I38" i="30"/>
  <c r="K35" i="30"/>
  <c r="P35" i="30" s="1"/>
  <c r="H35" i="30"/>
  <c r="O35" i="30" s="1"/>
  <c r="M32" i="30"/>
  <c r="K32" i="30"/>
  <c r="H32" i="30"/>
  <c r="K29" i="30"/>
  <c r="P29" i="30" s="1"/>
  <c r="H29" i="30"/>
  <c r="M26" i="30"/>
  <c r="K26" i="30"/>
  <c r="J26" i="30"/>
  <c r="H26" i="30"/>
  <c r="N22" i="30"/>
  <c r="L22" i="30"/>
  <c r="K19" i="30"/>
  <c r="P19" i="30" s="1"/>
  <c r="J19" i="30"/>
  <c r="H19" i="30"/>
  <c r="M16" i="30"/>
  <c r="M22" i="30" s="1"/>
  <c r="K16" i="30"/>
  <c r="J16" i="30"/>
  <c r="H16" i="30"/>
  <c r="C21" i="1"/>
  <c r="K8" i="1"/>
  <c r="K6" i="1"/>
  <c r="K5" i="1"/>
  <c r="D7" i="1"/>
  <c r="I7" i="1" s="1"/>
  <c r="K7" i="1" s="1"/>
  <c r="D8" i="1"/>
  <c r="I8" i="1" s="1"/>
  <c r="D6" i="1"/>
  <c r="I6" i="1" s="1"/>
  <c r="D5" i="1"/>
  <c r="I5" i="1" s="1"/>
  <c r="C22" i="1" s="1"/>
  <c r="I199" i="18"/>
  <c r="J199" i="18"/>
  <c r="L199" i="18"/>
  <c r="M199" i="18"/>
  <c r="N199" i="18"/>
  <c r="I185" i="25"/>
  <c r="J185" i="25"/>
  <c r="L185" i="25"/>
  <c r="M185" i="25"/>
  <c r="N185" i="25"/>
  <c r="O185" i="25"/>
  <c r="H185" i="25"/>
  <c r="I164" i="25"/>
  <c r="N168" i="25"/>
  <c r="G167" i="25"/>
  <c r="O166" i="25"/>
  <c r="M166" i="25"/>
  <c r="K166" i="25"/>
  <c r="P166" i="25" s="1"/>
  <c r="G165" i="25"/>
  <c r="P164" i="25"/>
  <c r="J164" i="25"/>
  <c r="H164" i="25"/>
  <c r="O164" i="25" s="1"/>
  <c r="G163" i="25"/>
  <c r="G162" i="25"/>
  <c r="G161" i="25"/>
  <c r="G160" i="25"/>
  <c r="L159" i="25"/>
  <c r="M159" i="25" s="1"/>
  <c r="I159" i="25"/>
  <c r="J159" i="25" s="1"/>
  <c r="H159" i="25"/>
  <c r="G158" i="25"/>
  <c r="K157" i="25" s="1"/>
  <c r="O157" i="25"/>
  <c r="M157" i="25"/>
  <c r="G156" i="25"/>
  <c r="G155" i="25"/>
  <c r="G154" i="25"/>
  <c r="H152" i="25" s="1"/>
  <c r="O152" i="25" s="1"/>
  <c r="G153" i="25"/>
  <c r="P152" i="25"/>
  <c r="J152" i="25"/>
  <c r="G151" i="25"/>
  <c r="G150" i="25"/>
  <c r="G149" i="25"/>
  <c r="M148" i="25"/>
  <c r="P148" i="25" s="1"/>
  <c r="I148" i="25"/>
  <c r="J148" i="25" s="1"/>
  <c r="H148" i="25"/>
  <c r="G147" i="25"/>
  <c r="G146" i="25"/>
  <c r="I145" i="25"/>
  <c r="J145" i="25" s="1"/>
  <c r="M140" i="25"/>
  <c r="N142" i="25"/>
  <c r="L142" i="25"/>
  <c r="G141" i="25"/>
  <c r="O140" i="25"/>
  <c r="K140" i="25"/>
  <c r="P140" i="25" s="1"/>
  <c r="G139" i="25"/>
  <c r="H138" i="25" s="1"/>
  <c r="P138" i="25"/>
  <c r="I138" i="25"/>
  <c r="J138" i="25" s="1"/>
  <c r="G137" i="25"/>
  <c r="G136" i="25"/>
  <c r="K133" i="25" s="1"/>
  <c r="P133" i="25" s="1"/>
  <c r="G135" i="25"/>
  <c r="G134" i="25"/>
  <c r="L133" i="25"/>
  <c r="M133" i="25" s="1"/>
  <c r="I133" i="25"/>
  <c r="J133" i="25" s="1"/>
  <c r="H133" i="25"/>
  <c r="G132" i="25"/>
  <c r="K131" i="25" s="1"/>
  <c r="O131" i="25"/>
  <c r="M131" i="25"/>
  <c r="G130" i="25"/>
  <c r="G129" i="25"/>
  <c r="G128" i="25"/>
  <c r="G127" i="25"/>
  <c r="P126" i="25"/>
  <c r="J126" i="25"/>
  <c r="G125" i="25"/>
  <c r="G124" i="25"/>
  <c r="G123" i="25"/>
  <c r="H122" i="25" s="1"/>
  <c r="M122" i="25"/>
  <c r="P122" i="25" s="1"/>
  <c r="I122" i="25"/>
  <c r="J122" i="25" s="1"/>
  <c r="G121" i="25"/>
  <c r="G120" i="25"/>
  <c r="I119" i="25"/>
  <c r="J119" i="25" s="1"/>
  <c r="I86" i="25"/>
  <c r="J86" i="25" s="1"/>
  <c r="N90" i="25"/>
  <c r="N116" i="25"/>
  <c r="I96" i="25"/>
  <c r="I93" i="25"/>
  <c r="G95" i="25"/>
  <c r="G94" i="25"/>
  <c r="I67" i="25"/>
  <c r="L81" i="25"/>
  <c r="L90" i="25" s="1"/>
  <c r="I81" i="25"/>
  <c r="J81" i="25" s="1"/>
  <c r="I70" i="25"/>
  <c r="G43" i="25"/>
  <c r="G68" i="25"/>
  <c r="G69" i="25"/>
  <c r="J41" i="25"/>
  <c r="J57" i="25"/>
  <c r="I52" i="25"/>
  <c r="J52" i="25" s="1"/>
  <c r="G49" i="25"/>
  <c r="G59" i="25"/>
  <c r="K57" i="25" s="1"/>
  <c r="G58" i="25"/>
  <c r="H57" i="25" s="1"/>
  <c r="M57" i="25"/>
  <c r="G56" i="25"/>
  <c r="G55" i="25"/>
  <c r="K52" i="25" s="1"/>
  <c r="G54" i="25"/>
  <c r="G53" i="25"/>
  <c r="M52" i="25"/>
  <c r="N183" i="25"/>
  <c r="L183" i="25"/>
  <c r="I183" i="25"/>
  <c r="G182" i="25"/>
  <c r="K180" i="25" s="1"/>
  <c r="P180" i="25" s="1"/>
  <c r="G181" i="25"/>
  <c r="H180" i="25" s="1"/>
  <c r="O180" i="25" s="1"/>
  <c r="G179" i="25"/>
  <c r="K177" i="25" s="1"/>
  <c r="G178" i="25"/>
  <c r="H177" i="25" s="1"/>
  <c r="M177" i="25"/>
  <c r="J177" i="25"/>
  <c r="G176" i="25"/>
  <c r="K174" i="25" s="1"/>
  <c r="G175" i="25"/>
  <c r="H174" i="25" s="1"/>
  <c r="M174" i="25"/>
  <c r="J174" i="25"/>
  <c r="G173" i="25"/>
  <c r="K171" i="25" s="1"/>
  <c r="G172" i="25"/>
  <c r="H171" i="25" s="1"/>
  <c r="M171" i="25"/>
  <c r="J171" i="25"/>
  <c r="G115" i="25"/>
  <c r="K114" i="25" s="1"/>
  <c r="O114" i="25"/>
  <c r="M114" i="25"/>
  <c r="G113" i="25"/>
  <c r="H112" i="25" s="1"/>
  <c r="P112" i="25"/>
  <c r="I112" i="25"/>
  <c r="J112" i="25" s="1"/>
  <c r="G111" i="25"/>
  <c r="G110" i="25"/>
  <c r="G109" i="25"/>
  <c r="G108" i="25"/>
  <c r="L107" i="25"/>
  <c r="M107" i="25" s="1"/>
  <c r="I107" i="25"/>
  <c r="J107" i="25" s="1"/>
  <c r="G106" i="25"/>
  <c r="K105" i="25" s="1"/>
  <c r="O105" i="25"/>
  <c r="M105" i="25"/>
  <c r="G104" i="25"/>
  <c r="G103" i="25"/>
  <c r="G102" i="25"/>
  <c r="G101" i="25"/>
  <c r="P100" i="25"/>
  <c r="J100" i="25"/>
  <c r="G99" i="25"/>
  <c r="G98" i="25"/>
  <c r="G97" i="25"/>
  <c r="M96" i="25"/>
  <c r="P96" i="25" s="1"/>
  <c r="G89" i="25"/>
  <c r="K88" i="25" s="1"/>
  <c r="O88" i="25"/>
  <c r="M88" i="25"/>
  <c r="G87" i="25"/>
  <c r="H86" i="25" s="1"/>
  <c r="P86" i="25"/>
  <c r="G85" i="25"/>
  <c r="G84" i="25"/>
  <c r="G83" i="25"/>
  <c r="G82" i="25"/>
  <c r="G80" i="25"/>
  <c r="K79" i="25" s="1"/>
  <c r="O79" i="25"/>
  <c r="M79" i="25"/>
  <c r="G78" i="25"/>
  <c r="G77" i="25"/>
  <c r="G76" i="25"/>
  <c r="G75" i="25"/>
  <c r="P74" i="25"/>
  <c r="J74" i="25"/>
  <c r="G73" i="25"/>
  <c r="G72" i="25"/>
  <c r="G71" i="25"/>
  <c r="M70" i="25"/>
  <c r="P70" i="25" s="1"/>
  <c r="N64" i="25"/>
  <c r="G63" i="25"/>
  <c r="G62" i="25"/>
  <c r="G61" i="25"/>
  <c r="O60" i="25"/>
  <c r="M60" i="25"/>
  <c r="G51" i="25"/>
  <c r="H50" i="25" s="1"/>
  <c r="J50" i="25"/>
  <c r="M50" i="25" s="1"/>
  <c r="G48" i="25"/>
  <c r="G47" i="25"/>
  <c r="J46" i="25"/>
  <c r="M46" i="25" s="1"/>
  <c r="G45" i="25"/>
  <c r="G44" i="25"/>
  <c r="G42" i="25"/>
  <c r="N38" i="25"/>
  <c r="L38" i="25"/>
  <c r="I38" i="25"/>
  <c r="K35" i="25"/>
  <c r="P35" i="25" s="1"/>
  <c r="H35" i="25"/>
  <c r="O35" i="25" s="1"/>
  <c r="M32" i="25"/>
  <c r="K32" i="25"/>
  <c r="J32" i="25"/>
  <c r="H32" i="25"/>
  <c r="K29" i="25"/>
  <c r="P29" i="25" s="1"/>
  <c r="H29" i="25"/>
  <c r="M26" i="25"/>
  <c r="K26" i="25"/>
  <c r="J26" i="25"/>
  <c r="H26" i="25"/>
  <c r="N22" i="25"/>
  <c r="L22" i="25"/>
  <c r="I22" i="25"/>
  <c r="K19" i="25"/>
  <c r="P19" i="25" s="1"/>
  <c r="J19" i="25"/>
  <c r="H19" i="25"/>
  <c r="M16" i="25"/>
  <c r="M22" i="25" s="1"/>
  <c r="K16" i="25"/>
  <c r="J16" i="25"/>
  <c r="H16" i="25"/>
  <c r="H144" i="30" l="1"/>
  <c r="O127" i="30"/>
  <c r="O144" i="30" s="1"/>
  <c r="O106" i="30"/>
  <c r="K144" i="30"/>
  <c r="P127" i="30"/>
  <c r="P144" i="30" s="1"/>
  <c r="O124" i="30"/>
  <c r="H124" i="30"/>
  <c r="K124" i="30"/>
  <c r="P106" i="30"/>
  <c r="P124" i="30" s="1"/>
  <c r="O86" i="30"/>
  <c r="O103" i="30" s="1"/>
  <c r="H103" i="30"/>
  <c r="K103" i="30"/>
  <c r="P86" i="30"/>
  <c r="P103" i="30" s="1"/>
  <c r="K41" i="30"/>
  <c r="P41" i="30" s="1"/>
  <c r="K54" i="30"/>
  <c r="P54" i="30" s="1"/>
  <c r="H54" i="30"/>
  <c r="O54" i="30" s="1"/>
  <c r="O26" i="30"/>
  <c r="O16" i="30"/>
  <c r="O51" i="30"/>
  <c r="M38" i="30"/>
  <c r="O19" i="30"/>
  <c r="H65" i="30"/>
  <c r="K65" i="30" s="1"/>
  <c r="O32" i="30"/>
  <c r="K70" i="30"/>
  <c r="P51" i="30"/>
  <c r="P68" i="30"/>
  <c r="P150" i="30"/>
  <c r="P78" i="30"/>
  <c r="J159" i="30"/>
  <c r="P153" i="30"/>
  <c r="H41" i="30"/>
  <c r="O41" i="30" s="1"/>
  <c r="M159" i="30"/>
  <c r="P32" i="30"/>
  <c r="K46" i="30"/>
  <c r="P46" i="30" s="1"/>
  <c r="J38" i="30"/>
  <c r="O150" i="30"/>
  <c r="O153" i="30"/>
  <c r="M62" i="30"/>
  <c r="J22" i="30"/>
  <c r="K22" i="30"/>
  <c r="H46" i="30"/>
  <c r="O46" i="30" s="1"/>
  <c r="H70" i="30"/>
  <c r="O70" i="30" s="1"/>
  <c r="O147" i="30"/>
  <c r="H38" i="30"/>
  <c r="H22" i="30"/>
  <c r="K159" i="30"/>
  <c r="O49" i="30"/>
  <c r="K49" i="30"/>
  <c r="P49" i="30" s="1"/>
  <c r="J83" i="30"/>
  <c r="M65" i="30"/>
  <c r="M70" i="30"/>
  <c r="H159" i="30"/>
  <c r="P16" i="30"/>
  <c r="P22" i="30" s="1"/>
  <c r="P147" i="30"/>
  <c r="K38" i="30"/>
  <c r="I83" i="30"/>
  <c r="O29" i="30"/>
  <c r="P26" i="30"/>
  <c r="K159" i="25"/>
  <c r="P159" i="25" s="1"/>
  <c r="H145" i="25"/>
  <c r="O145" i="25" s="1"/>
  <c r="P131" i="25"/>
  <c r="P157" i="25"/>
  <c r="O122" i="25"/>
  <c r="I168" i="25"/>
  <c r="I116" i="25"/>
  <c r="L168" i="25"/>
  <c r="H126" i="25"/>
  <c r="O126" i="25" s="1"/>
  <c r="O148" i="25"/>
  <c r="O159" i="25"/>
  <c r="M145" i="25"/>
  <c r="M168" i="25" s="1"/>
  <c r="J168" i="25"/>
  <c r="H93" i="25"/>
  <c r="K93" i="25" s="1"/>
  <c r="O138" i="25"/>
  <c r="H119" i="25"/>
  <c r="O119" i="25" s="1"/>
  <c r="O133" i="25"/>
  <c r="I142" i="25"/>
  <c r="J142" i="25"/>
  <c r="M119" i="25"/>
  <c r="M142" i="25" s="1"/>
  <c r="H142" i="25"/>
  <c r="K119" i="25"/>
  <c r="I90" i="25"/>
  <c r="L116" i="25"/>
  <c r="J93" i="25"/>
  <c r="K46" i="25"/>
  <c r="J67" i="25"/>
  <c r="H67" i="25"/>
  <c r="P177" i="25"/>
  <c r="O16" i="25"/>
  <c r="O26" i="25"/>
  <c r="H41" i="25"/>
  <c r="H46" i="25"/>
  <c r="O46" i="25" s="1"/>
  <c r="P79" i="25"/>
  <c r="K107" i="25"/>
  <c r="P107" i="25" s="1"/>
  <c r="H107" i="25"/>
  <c r="O107" i="25" s="1"/>
  <c r="H52" i="25"/>
  <c r="O52" i="25" s="1"/>
  <c r="P52" i="25"/>
  <c r="K60" i="25"/>
  <c r="P60" i="25" s="1"/>
  <c r="H81" i="25"/>
  <c r="O81" i="25" s="1"/>
  <c r="O57" i="25"/>
  <c r="P57" i="25"/>
  <c r="L64" i="25"/>
  <c r="O174" i="25"/>
  <c r="K81" i="25"/>
  <c r="P105" i="25"/>
  <c r="I64" i="25"/>
  <c r="H100" i="25"/>
  <c r="O100" i="25" s="1"/>
  <c r="P114" i="25"/>
  <c r="K22" i="25"/>
  <c r="J22" i="25"/>
  <c r="O19" i="25"/>
  <c r="P88" i="25"/>
  <c r="O177" i="25"/>
  <c r="P32" i="25"/>
  <c r="J38" i="25"/>
  <c r="P16" i="25"/>
  <c r="P22" i="25" s="1"/>
  <c r="M183" i="25"/>
  <c r="H38" i="25"/>
  <c r="J70" i="25"/>
  <c r="H96" i="25"/>
  <c r="P174" i="25"/>
  <c r="O86" i="25"/>
  <c r="H74" i="25"/>
  <c r="O74" i="25" s="1"/>
  <c r="H22" i="25"/>
  <c r="O32" i="25"/>
  <c r="H70" i="25"/>
  <c r="J183" i="25"/>
  <c r="K183" i="25"/>
  <c r="P171" i="25"/>
  <c r="O50" i="25"/>
  <c r="K50" i="25"/>
  <c r="P50" i="25" s="1"/>
  <c r="M81" i="25"/>
  <c r="P26" i="25"/>
  <c r="M38" i="25"/>
  <c r="O171" i="25"/>
  <c r="H183" i="25"/>
  <c r="J96" i="25"/>
  <c r="O112" i="25"/>
  <c r="O29" i="25"/>
  <c r="K38" i="25"/>
  <c r="M161" i="18"/>
  <c r="P161" i="18" s="1"/>
  <c r="M136" i="18"/>
  <c r="M111" i="18"/>
  <c r="M86" i="18"/>
  <c r="M61" i="18"/>
  <c r="M191" i="18"/>
  <c r="J191" i="18"/>
  <c r="M188" i="18"/>
  <c r="J188" i="18"/>
  <c r="M185" i="18"/>
  <c r="J185" i="18"/>
  <c r="G196" i="18"/>
  <c r="K194" i="18" s="1"/>
  <c r="P194" i="18" s="1"/>
  <c r="G193" i="18"/>
  <c r="K191" i="18" s="1"/>
  <c r="G190" i="18"/>
  <c r="K188" i="18" s="1"/>
  <c r="G187" i="18"/>
  <c r="K185" i="18" s="1"/>
  <c r="G195" i="18"/>
  <c r="G192" i="18"/>
  <c r="G189" i="18"/>
  <c r="H188" i="18" s="1"/>
  <c r="G186" i="18"/>
  <c r="H185" i="18" s="1"/>
  <c r="N197" i="18"/>
  <c r="L197" i="18"/>
  <c r="I197" i="18"/>
  <c r="H194" i="18"/>
  <c r="O194" i="18" s="1"/>
  <c r="H191" i="18"/>
  <c r="L173" i="18"/>
  <c r="M173" i="18" s="1"/>
  <c r="I173" i="18"/>
  <c r="J173" i="18" s="1"/>
  <c r="L147" i="18"/>
  <c r="M147" i="18" s="1"/>
  <c r="I147" i="18"/>
  <c r="J147" i="18" s="1"/>
  <c r="L122" i="18"/>
  <c r="M122" i="18" s="1"/>
  <c r="I122" i="18"/>
  <c r="J122" i="18" s="1"/>
  <c r="L97" i="18"/>
  <c r="M97" i="18" s="1"/>
  <c r="I97" i="18"/>
  <c r="J97" i="18" s="1"/>
  <c r="L72" i="18"/>
  <c r="L81" i="18" s="1"/>
  <c r="I72" i="18"/>
  <c r="J72" i="18" s="1"/>
  <c r="G169" i="18"/>
  <c r="N182" i="18"/>
  <c r="G181" i="18"/>
  <c r="K180" i="18" s="1"/>
  <c r="O180" i="18"/>
  <c r="M180" i="18"/>
  <c r="G179" i="18"/>
  <c r="H178" i="18" s="1"/>
  <c r="P178" i="18"/>
  <c r="I178" i="18"/>
  <c r="J178" i="18" s="1"/>
  <c r="G177" i="18"/>
  <c r="G176" i="18"/>
  <c r="K173" i="18" s="1"/>
  <c r="G175" i="18"/>
  <c r="G174" i="18"/>
  <c r="G172" i="18"/>
  <c r="K171" i="18" s="1"/>
  <c r="O171" i="18"/>
  <c r="M171" i="18"/>
  <c r="G170" i="18"/>
  <c r="G168" i="18"/>
  <c r="G167" i="18"/>
  <c r="G166" i="18"/>
  <c r="P165" i="18"/>
  <c r="J165" i="18"/>
  <c r="G164" i="18"/>
  <c r="G163" i="18"/>
  <c r="G162" i="18"/>
  <c r="I161" i="18"/>
  <c r="J161" i="18" s="1"/>
  <c r="G160" i="18"/>
  <c r="H159" i="18" s="1"/>
  <c r="J159" i="18"/>
  <c r="M159" i="18" s="1"/>
  <c r="N156" i="18"/>
  <c r="G155" i="18"/>
  <c r="K154" i="18" s="1"/>
  <c r="O154" i="18"/>
  <c r="M154" i="18"/>
  <c r="G153" i="18"/>
  <c r="H152" i="18" s="1"/>
  <c r="P152" i="18"/>
  <c r="I152" i="18"/>
  <c r="J152" i="18" s="1"/>
  <c r="G151" i="18"/>
  <c r="G150" i="18"/>
  <c r="G149" i="18"/>
  <c r="G148" i="18"/>
  <c r="G146" i="18"/>
  <c r="K145" i="18" s="1"/>
  <c r="O145" i="18"/>
  <c r="M145" i="18"/>
  <c r="G144" i="18"/>
  <c r="G143" i="18"/>
  <c r="G142" i="18"/>
  <c r="G141" i="18"/>
  <c r="P140" i="18"/>
  <c r="J140" i="18"/>
  <c r="G139" i="18"/>
  <c r="G138" i="18"/>
  <c r="G137" i="18"/>
  <c r="P136" i="18"/>
  <c r="I136" i="18"/>
  <c r="J136" i="18" s="1"/>
  <c r="G135" i="18"/>
  <c r="H134" i="18" s="1"/>
  <c r="K134" i="18" s="1"/>
  <c r="J134" i="18"/>
  <c r="M134" i="18" s="1"/>
  <c r="N131" i="18"/>
  <c r="G130" i="18"/>
  <c r="K129" i="18" s="1"/>
  <c r="O129" i="18"/>
  <c r="M129" i="18"/>
  <c r="G128" i="18"/>
  <c r="H127" i="18" s="1"/>
  <c r="P127" i="18"/>
  <c r="I127" i="18"/>
  <c r="J127" i="18" s="1"/>
  <c r="G126" i="18"/>
  <c r="G125" i="18"/>
  <c r="G124" i="18"/>
  <c r="G123" i="18"/>
  <c r="H122" i="18" s="1"/>
  <c r="G121" i="18"/>
  <c r="K120" i="18" s="1"/>
  <c r="O120" i="18"/>
  <c r="M120" i="18"/>
  <c r="G119" i="18"/>
  <c r="G118" i="18"/>
  <c r="G117" i="18"/>
  <c r="G116" i="18"/>
  <c r="P115" i="18"/>
  <c r="J115" i="18"/>
  <c r="G114" i="18"/>
  <c r="G113" i="18"/>
  <c r="G112" i="18"/>
  <c r="P111" i="18"/>
  <c r="I111" i="18"/>
  <c r="J111" i="18" s="1"/>
  <c r="G110" i="18"/>
  <c r="H109" i="18" s="1"/>
  <c r="J109" i="18"/>
  <c r="M109" i="18" s="1"/>
  <c r="M95" i="18"/>
  <c r="I102" i="18"/>
  <c r="J102" i="18" s="1"/>
  <c r="I86" i="18"/>
  <c r="J86" i="18" s="1"/>
  <c r="J90" i="18"/>
  <c r="J84" i="18"/>
  <c r="M84" i="18" s="1"/>
  <c r="J59" i="18"/>
  <c r="M59" i="18" s="1"/>
  <c r="N106" i="18"/>
  <c r="G105" i="18"/>
  <c r="K104" i="18" s="1"/>
  <c r="O104" i="18"/>
  <c r="M104" i="18"/>
  <c r="G103" i="18"/>
  <c r="H102" i="18" s="1"/>
  <c r="P102" i="18"/>
  <c r="G101" i="18"/>
  <c r="G100" i="18"/>
  <c r="G99" i="18"/>
  <c r="G98" i="18"/>
  <c r="G96" i="18"/>
  <c r="K95" i="18" s="1"/>
  <c r="O95" i="18"/>
  <c r="G94" i="18"/>
  <c r="G93" i="18"/>
  <c r="G92" i="18"/>
  <c r="G91" i="18"/>
  <c r="P90" i="18"/>
  <c r="G89" i="18"/>
  <c r="G88" i="18"/>
  <c r="G87" i="18"/>
  <c r="P86" i="18"/>
  <c r="G85" i="18"/>
  <c r="H84" i="18" s="1"/>
  <c r="M52" i="18"/>
  <c r="J48" i="18"/>
  <c r="M48" i="18" s="1"/>
  <c r="I50" i="18"/>
  <c r="I56" i="18" s="1"/>
  <c r="J45" i="18"/>
  <c r="J40" i="18"/>
  <c r="M40" i="18" s="1"/>
  <c r="L56" i="18"/>
  <c r="N56" i="18"/>
  <c r="G55" i="18"/>
  <c r="G54" i="18"/>
  <c r="G53" i="18"/>
  <c r="O52" i="18"/>
  <c r="G51" i="18"/>
  <c r="H50" i="18" s="1"/>
  <c r="K50" i="18" s="1"/>
  <c r="G49" i="18"/>
  <c r="H48" i="18" s="1"/>
  <c r="G47" i="18"/>
  <c r="G46" i="18"/>
  <c r="G44" i="18"/>
  <c r="G43" i="18"/>
  <c r="G41" i="18"/>
  <c r="M31" i="18"/>
  <c r="M25" i="18"/>
  <c r="J31" i="18"/>
  <c r="J25" i="18"/>
  <c r="I37" i="18"/>
  <c r="L37" i="18"/>
  <c r="N37" i="18"/>
  <c r="K31" i="18"/>
  <c r="H31" i="18"/>
  <c r="K28" i="18"/>
  <c r="P28" i="18" s="1"/>
  <c r="H28" i="18"/>
  <c r="O28" i="18" s="1"/>
  <c r="K25" i="18"/>
  <c r="H25" i="18"/>
  <c r="K34" i="18"/>
  <c r="P34" i="18" s="1"/>
  <c r="H34" i="18"/>
  <c r="I21" i="18"/>
  <c r="L21" i="18"/>
  <c r="N21" i="18"/>
  <c r="J18" i="18"/>
  <c r="M15" i="18"/>
  <c r="M21" i="18" s="1"/>
  <c r="J15" i="18"/>
  <c r="H18" i="18"/>
  <c r="K15" i="18"/>
  <c r="H15" i="18"/>
  <c r="N81" i="18"/>
  <c r="M79" i="18"/>
  <c r="I77" i="18"/>
  <c r="J77" i="18" s="1"/>
  <c r="G75" i="18"/>
  <c r="G76" i="18"/>
  <c r="M70" i="18"/>
  <c r="J65" i="18"/>
  <c r="I61" i="18"/>
  <c r="J61" i="18" s="1"/>
  <c r="G80" i="18"/>
  <c r="G78" i="18"/>
  <c r="G74" i="18"/>
  <c r="G73" i="18"/>
  <c r="G71" i="18"/>
  <c r="G69" i="18"/>
  <c r="G68" i="18"/>
  <c r="G67" i="18"/>
  <c r="G66" i="18"/>
  <c r="G62" i="18"/>
  <c r="G63" i="18"/>
  <c r="G64" i="18"/>
  <c r="F60" i="18"/>
  <c r="I4" i="2"/>
  <c r="I5" i="2"/>
  <c r="I3" i="2"/>
  <c r="M60" i="3"/>
  <c r="L60" i="3"/>
  <c r="K60" i="3"/>
  <c r="J60" i="3"/>
  <c r="I60" i="3"/>
  <c r="H60" i="3"/>
  <c r="G60" i="3"/>
  <c r="F60" i="3"/>
  <c r="M54" i="3"/>
  <c r="L54" i="3"/>
  <c r="K54" i="3"/>
  <c r="J54" i="3"/>
  <c r="I54" i="3"/>
  <c r="H54" i="3"/>
  <c r="G54" i="3"/>
  <c r="F54" i="3"/>
  <c r="O22" i="30" l="1"/>
  <c r="K83" i="30"/>
  <c r="O65" i="30"/>
  <c r="O83" i="30" s="1"/>
  <c r="O159" i="30"/>
  <c r="P62" i="30"/>
  <c r="O38" i="30"/>
  <c r="P38" i="30"/>
  <c r="P159" i="30"/>
  <c r="P70" i="30"/>
  <c r="K62" i="30"/>
  <c r="H62" i="30"/>
  <c r="J62" i="30"/>
  <c r="H83" i="30"/>
  <c r="M83" i="30"/>
  <c r="P65" i="30"/>
  <c r="O62" i="30"/>
  <c r="H168" i="25"/>
  <c r="K145" i="25"/>
  <c r="P145" i="25" s="1"/>
  <c r="P168" i="25" s="1"/>
  <c r="O142" i="25"/>
  <c r="H116" i="25"/>
  <c r="K168" i="25"/>
  <c r="O168" i="25"/>
  <c r="K142" i="25"/>
  <c r="P119" i="25"/>
  <c r="P142" i="25" s="1"/>
  <c r="O22" i="25"/>
  <c r="K67" i="25"/>
  <c r="K90" i="25" s="1"/>
  <c r="H90" i="25"/>
  <c r="K116" i="25"/>
  <c r="M67" i="25"/>
  <c r="M90" i="25" s="1"/>
  <c r="J90" i="25"/>
  <c r="M93" i="25"/>
  <c r="M116" i="25" s="1"/>
  <c r="J116" i="25"/>
  <c r="P93" i="25"/>
  <c r="P116" i="25" s="1"/>
  <c r="O93" i="25"/>
  <c r="O67" i="25"/>
  <c r="O41" i="25"/>
  <c r="O64" i="25" s="1"/>
  <c r="H64" i="25"/>
  <c r="P41" i="25"/>
  <c r="P81" i="25"/>
  <c r="O38" i="25"/>
  <c r="M64" i="25"/>
  <c r="O183" i="25"/>
  <c r="P38" i="25"/>
  <c r="P46" i="25"/>
  <c r="P183" i="25"/>
  <c r="O70" i="25"/>
  <c r="O96" i="25"/>
  <c r="J64" i="25"/>
  <c r="M197" i="18"/>
  <c r="O191" i="18"/>
  <c r="P188" i="18"/>
  <c r="O188" i="18"/>
  <c r="H197" i="18"/>
  <c r="O185" i="18"/>
  <c r="K197" i="18"/>
  <c r="P191" i="18"/>
  <c r="L131" i="18"/>
  <c r="P185" i="18"/>
  <c r="J197" i="18"/>
  <c r="K97" i="18"/>
  <c r="P97" i="18" s="1"/>
  <c r="K147" i="18"/>
  <c r="H173" i="18"/>
  <c r="O173" i="18" s="1"/>
  <c r="L106" i="18"/>
  <c r="H147" i="18"/>
  <c r="O147" i="18" s="1"/>
  <c r="H97" i="18"/>
  <c r="K122" i="18"/>
  <c r="P122" i="18" s="1"/>
  <c r="L156" i="18"/>
  <c r="P171" i="18"/>
  <c r="H165" i="18"/>
  <c r="O165" i="18" s="1"/>
  <c r="P180" i="18"/>
  <c r="M72" i="18"/>
  <c r="M81" i="18" s="1"/>
  <c r="L182" i="18"/>
  <c r="H90" i="18"/>
  <c r="O90" i="18" s="1"/>
  <c r="P120" i="18"/>
  <c r="P154" i="18"/>
  <c r="P145" i="18"/>
  <c r="P104" i="18"/>
  <c r="O109" i="18"/>
  <c r="P129" i="18"/>
  <c r="H161" i="18"/>
  <c r="O161" i="18" s="1"/>
  <c r="O159" i="18"/>
  <c r="M182" i="18"/>
  <c r="M156" i="18"/>
  <c r="H115" i="18"/>
  <c r="O115" i="18" s="1"/>
  <c r="H140" i="18"/>
  <c r="O140" i="18" s="1"/>
  <c r="O152" i="18"/>
  <c r="M131" i="18"/>
  <c r="O178" i="18"/>
  <c r="P173" i="18"/>
  <c r="J182" i="18"/>
  <c r="K159" i="18"/>
  <c r="I182" i="18"/>
  <c r="H111" i="18"/>
  <c r="O111" i="18" s="1"/>
  <c r="H136" i="18"/>
  <c r="I156" i="18"/>
  <c r="P134" i="18"/>
  <c r="P147" i="18"/>
  <c r="O134" i="18"/>
  <c r="J156" i="18"/>
  <c r="O127" i="18"/>
  <c r="O122" i="18"/>
  <c r="K109" i="18"/>
  <c r="I131" i="18"/>
  <c r="J131" i="18"/>
  <c r="P95" i="18"/>
  <c r="M106" i="18"/>
  <c r="H86" i="18"/>
  <c r="I106" i="18"/>
  <c r="J106" i="18"/>
  <c r="O84" i="18"/>
  <c r="K84" i="18"/>
  <c r="O102" i="18"/>
  <c r="K52" i="18"/>
  <c r="P52" i="18" s="1"/>
  <c r="H40" i="18"/>
  <c r="H45" i="18"/>
  <c r="O45" i="18" s="1"/>
  <c r="J50" i="18"/>
  <c r="J56" i="18" s="1"/>
  <c r="M45" i="18"/>
  <c r="O48" i="18"/>
  <c r="K48" i="18"/>
  <c r="P48" i="18" s="1"/>
  <c r="M37" i="18"/>
  <c r="K37" i="18"/>
  <c r="J37" i="18"/>
  <c r="O31" i="18"/>
  <c r="P31" i="18"/>
  <c r="H37" i="18"/>
  <c r="P25" i="18"/>
  <c r="J21" i="18"/>
  <c r="O25" i="18"/>
  <c r="H21" i="18"/>
  <c r="O34" i="18"/>
  <c r="O18" i="18"/>
  <c r="K18" i="18"/>
  <c r="O15" i="18"/>
  <c r="P15" i="18"/>
  <c r="H72" i="18"/>
  <c r="O72" i="18" s="1"/>
  <c r="J81" i="18"/>
  <c r="I81" i="18"/>
  <c r="K72" i="18"/>
  <c r="H77" i="18"/>
  <c r="O77" i="18" s="1"/>
  <c r="O79" i="18"/>
  <c r="P77" i="18"/>
  <c r="K79" i="18"/>
  <c r="P79" i="18" s="1"/>
  <c r="O70" i="18"/>
  <c r="K70" i="18"/>
  <c r="P70" i="18" s="1"/>
  <c r="P65" i="18"/>
  <c r="H61" i="18"/>
  <c r="O61" i="18" s="1"/>
  <c r="P61" i="18"/>
  <c r="H65" i="18"/>
  <c r="O65" i="18" s="1"/>
  <c r="G60" i="18"/>
  <c r="H59" i="18" s="1"/>
  <c r="J61" i="3"/>
  <c r="K61" i="3"/>
  <c r="P83" i="30" l="1"/>
  <c r="O116" i="25"/>
  <c r="O90" i="25"/>
  <c r="P67" i="25"/>
  <c r="P90" i="25" s="1"/>
  <c r="P64" i="25"/>
  <c r="P185" i="25" s="1"/>
  <c r="K64" i="25"/>
  <c r="K185" i="25" s="1"/>
  <c r="P197" i="18"/>
  <c r="O197" i="18"/>
  <c r="P72" i="18"/>
  <c r="H156" i="18"/>
  <c r="H131" i="18"/>
  <c r="H106" i="18"/>
  <c r="H182" i="18"/>
  <c r="O182" i="18"/>
  <c r="O97" i="18"/>
  <c r="K182" i="18"/>
  <c r="P159" i="18"/>
  <c r="P182" i="18" s="1"/>
  <c r="O136" i="18"/>
  <c r="O156" i="18" s="1"/>
  <c r="P156" i="18"/>
  <c r="K156" i="18"/>
  <c r="O131" i="18"/>
  <c r="K131" i="18"/>
  <c r="P109" i="18"/>
  <c r="P131" i="18" s="1"/>
  <c r="O86" i="18"/>
  <c r="K45" i="18"/>
  <c r="P45" i="18" s="1"/>
  <c r="K106" i="18"/>
  <c r="P84" i="18"/>
  <c r="P106" i="18" s="1"/>
  <c r="H56" i="18"/>
  <c r="O40" i="18"/>
  <c r="K40" i="18"/>
  <c r="M50" i="18"/>
  <c r="P50" i="18" s="1"/>
  <c r="O50" i="18"/>
  <c r="O21" i="18"/>
  <c r="O37" i="18"/>
  <c r="P37" i="18"/>
  <c r="P18" i="18"/>
  <c r="P21" i="18" s="1"/>
  <c r="K21" i="18"/>
  <c r="H81" i="18"/>
  <c r="H199" i="18" s="1"/>
  <c r="O59" i="18"/>
  <c r="O81" i="18" s="1"/>
  <c r="O199" i="18" s="1"/>
  <c r="K59" i="18"/>
  <c r="G61" i="3"/>
  <c r="L61" i="3"/>
  <c r="I61" i="3"/>
  <c r="M61" i="3"/>
  <c r="O106" i="18" l="1"/>
  <c r="O56" i="18"/>
  <c r="P40" i="18"/>
  <c r="P56" i="18" s="1"/>
  <c r="K56" i="18"/>
  <c r="M56" i="18"/>
  <c r="P59" i="18"/>
  <c r="P81" i="18" s="1"/>
  <c r="K81" i="18"/>
  <c r="K199" i="18" l="1"/>
  <c r="P19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<sst xmlns="http://schemas.openxmlformats.org/spreadsheetml/2006/main" count="1493" uniqueCount="398">
  <si>
    <t>Installation Value Analysis</t>
  </si>
  <si>
    <t xml:space="preserve">Power Installation </t>
  </si>
  <si>
    <t>Total Hours</t>
  </si>
  <si>
    <t>Total Days</t>
  </si>
  <si>
    <t xml:space="preserve">Total Cost </t>
  </si>
  <si>
    <t xml:space="preserve">Total Materials </t>
  </si>
  <si>
    <t>Total Labor</t>
  </si>
  <si>
    <t xml:space="preserve">Est. Crew Size </t>
  </si>
  <si>
    <t>Estimated Construction Time (Days)</t>
  </si>
  <si>
    <t>Average IDF Cost</t>
  </si>
  <si>
    <t>Average IDF Construction Time (Days)</t>
  </si>
  <si>
    <t>Largest AWG</t>
  </si>
  <si>
    <t>Smallest AWG</t>
  </si>
  <si>
    <t>Average AWG</t>
  </si>
  <si>
    <t xml:space="preserve">Average Trenching Cost </t>
  </si>
  <si>
    <t>Average Trenching Time (Hours)</t>
  </si>
  <si>
    <t>Longest Single IDF Cost (1000ft / 4500ft)</t>
  </si>
  <si>
    <t>Shortest Single IDF Cost (75ft / 700ft)</t>
  </si>
  <si>
    <t xml:space="preserve">Class-4 Indoor </t>
  </si>
  <si>
    <t>A/C Indoor</t>
  </si>
  <si>
    <t>Class-4 Outdoor</t>
  </si>
  <si>
    <t>A/C Outdoor</t>
  </si>
  <si>
    <t>Indoor Value Props</t>
  </si>
  <si>
    <t xml:space="preserve">Minimum IDF's </t>
  </si>
  <si>
    <t xml:space="preserve">Minimum number of IDFs where FMP provides CapEx benefits </t>
  </si>
  <si>
    <t xml:space="preserve">Minimum Distance </t>
  </si>
  <si>
    <t>65 feet</t>
  </si>
  <si>
    <t xml:space="preserve">Minimum distance from AC power where FMPS provides Time and Cost benefits </t>
  </si>
  <si>
    <t>Best Distance to use FMPS</t>
  </si>
  <si>
    <t xml:space="preserve">200 feet </t>
  </si>
  <si>
    <t xml:space="preserve">This is a target distance for FMP vs AC applications </t>
  </si>
  <si>
    <t>Power Sweet spot</t>
  </si>
  <si>
    <t>1000 watts</t>
  </si>
  <si>
    <t>This is the load where the (3) channel receiver has the best power to cost ratio</t>
  </si>
  <si>
    <t>FMPS largest AWG</t>
  </si>
  <si>
    <t xml:space="preserve">This is the AWG size which covers the most scenerios using a single cable </t>
  </si>
  <si>
    <t>AC largest AWG</t>
  </si>
  <si>
    <t>This is the expected cable size for AC power when exceeding 200ft distances</t>
  </si>
  <si>
    <t>Average Cost Difference</t>
  </si>
  <si>
    <t>Average cost difference per IDF (includes fixed costs: head end costs, site walk, design and engineering)</t>
  </si>
  <si>
    <t>Time to Deployment</t>
  </si>
  <si>
    <t>Significantly less time to deploy FMPS vs traditional power</t>
  </si>
  <si>
    <t>Outdoor Value Props</t>
  </si>
  <si>
    <t>Anything Outdoors</t>
  </si>
  <si>
    <t xml:space="preserve">Any devices outside of a building would make sense with FMPS based on cost and time to deployment </t>
  </si>
  <si>
    <t>Excellent in Difficult Environments</t>
  </si>
  <si>
    <t>Any areas where deep trenching is not practical this solution can be run above ground in an approved LV pathway</t>
  </si>
  <si>
    <t>Specialty | Dura-Line (duraline.com)</t>
  </si>
  <si>
    <t>Duralilne Ariel Duct</t>
  </si>
  <si>
    <t>Extreme Distances</t>
  </si>
  <si>
    <t xml:space="preserve">3000ft + </t>
  </si>
  <si>
    <t>Distances beyond 3000 ft requrie extremely large AC cables which can cost upwards of $11/ft</t>
  </si>
  <si>
    <t>Time Constraints</t>
  </si>
  <si>
    <t>FMP can be installed in 50% of the time not even factoring permits and approvals for outdoor trenching</t>
  </si>
  <si>
    <t>Where is AC a better fit?</t>
  </si>
  <si>
    <t>Close AC power</t>
  </si>
  <si>
    <t>Anywhere that has an electrical panel closer than 50ft</t>
  </si>
  <si>
    <t xml:space="preserve">High Power </t>
  </si>
  <si>
    <t>4kVA (4500 watts)</t>
  </si>
  <si>
    <t>Anything above 4kVA will require an AC circtuit - this equates to more power than a fully loaded transmitter chassis and 3 receivers.</t>
  </si>
  <si>
    <t>Where is Powered Fiber a Better Fit ?</t>
  </si>
  <si>
    <t>Very low power</t>
  </si>
  <si>
    <t>&lt;60w</t>
  </si>
  <si>
    <t xml:space="preserve">Any application that require lower than 60 watts of power will be better served by class 2 </t>
  </si>
  <si>
    <t>Short Distances</t>
  </si>
  <si>
    <t xml:space="preserve">Less than 300ft </t>
  </si>
  <si>
    <t>Short distances less than 300 feet and less than 800 watts</t>
  </si>
  <si>
    <t>Special Note</t>
  </si>
  <si>
    <t>In most cases the network can be designed so that the Rx acts as a class 2 hub - allowing for a more scalable cost effective design.</t>
  </si>
  <si>
    <t xml:space="preserve">As we say FMPS is not vertical specific but challenege specific we mean that the solutions savings are typical of the solution we are providing regardless of the vertical ;for instance if you need to </t>
  </si>
  <si>
    <t xml:space="preserve">Add an IDF in a hospital or office or school </t>
  </si>
  <si>
    <t>it will take you 37% less time and 40 % less cost</t>
  </si>
  <si>
    <t xml:space="preserve">Anytime you're running power outside of the building </t>
  </si>
  <si>
    <t xml:space="preserve">What is the product / how does it work / </t>
  </si>
  <si>
    <t>Message to Electrical Contractors</t>
  </si>
  <si>
    <t>Be more competitive, preserve your margins, free up labor for more profitable projects</t>
  </si>
  <si>
    <t>Message to integrators, add more scope to your projects, control the project timeline, build better designs</t>
  </si>
  <si>
    <t>Message to end users control network deployment cost, faster deployment, better network management and resiliance</t>
  </si>
  <si>
    <t>This is not a vertical focused product but a solutions focused product</t>
  </si>
  <si>
    <t xml:space="preserve">Provide power to security cameras </t>
  </si>
  <si>
    <t>Any Vertical</t>
  </si>
  <si>
    <t>Provide power to new IDFs</t>
  </si>
  <si>
    <t>Centralized UPS</t>
  </si>
  <si>
    <t xml:space="preserve">Interesting cases </t>
  </si>
  <si>
    <t>Powering a guard shack</t>
  </si>
  <si>
    <t xml:space="preserve">Providing USBC </t>
  </si>
  <si>
    <t xml:space="preserve">The numbers </t>
  </si>
  <si>
    <t>Instalaltion Cost</t>
  </si>
  <si>
    <t>Installation Time</t>
  </si>
  <si>
    <t>Total Capex</t>
  </si>
  <si>
    <t xml:space="preserve">Network Troubleshooting </t>
  </si>
  <si>
    <t>What to Ask</t>
  </si>
  <si>
    <t>Do you need more than 100W of power at that location</t>
  </si>
  <si>
    <t>Is it less than 4500w total</t>
  </si>
  <si>
    <t>Is there an electrical Panel within 100ft</t>
  </si>
  <si>
    <t>Do you have limited pathway space?</t>
  </si>
  <si>
    <t>Are these extreme distances (more than 3000ft)</t>
  </si>
  <si>
    <t>Why is it safe</t>
  </si>
  <si>
    <t>CL4 power didn't exist 5 years ago. Panduit along with other industry experts worked with UL to create the safety standards around this new class of power, and working with NEC creating standards for installation.</t>
  </si>
  <si>
    <t>Indoor Installation Scope</t>
  </si>
  <si>
    <t>Cost Drivers</t>
  </si>
  <si>
    <t>Constants</t>
  </si>
  <si>
    <t>Labor Rates</t>
  </si>
  <si>
    <t>Installation Assumptions</t>
  </si>
  <si>
    <t>MEP Design</t>
  </si>
  <si>
    <t>per hour</t>
  </si>
  <si>
    <t>Conduit Installation</t>
  </si>
  <si>
    <t>ft/hr</t>
  </si>
  <si>
    <t xml:space="preserve">Electrician </t>
  </si>
  <si>
    <t>Electrical Cable Installation</t>
  </si>
  <si>
    <t>Low Voltage Installer</t>
  </si>
  <si>
    <t>LV Cable Installation</t>
  </si>
  <si>
    <t>Low Voltage Designer</t>
  </si>
  <si>
    <t>Trenching</t>
  </si>
  <si>
    <t>per foot</t>
  </si>
  <si>
    <t>Micro Trenching</t>
  </si>
  <si>
    <t xml:space="preserve">Coring </t>
  </si>
  <si>
    <t>per core</t>
  </si>
  <si>
    <t xml:space="preserve">Cable Supports </t>
  </si>
  <si>
    <t>per 6ft</t>
  </si>
  <si>
    <t>Pre-Design</t>
  </si>
  <si>
    <r>
      <t xml:space="preserve">Materials </t>
    </r>
    <r>
      <rPr>
        <sz val="11"/>
        <color theme="1"/>
        <rFont val="Calibri"/>
        <family val="2"/>
        <scheme val="minor"/>
      </rPr>
      <t>(AC)</t>
    </r>
  </si>
  <si>
    <r>
      <t xml:space="preserve">Hours </t>
    </r>
    <r>
      <rPr>
        <sz val="11"/>
        <color theme="1"/>
        <rFont val="Calibri"/>
        <family val="2"/>
        <scheme val="minor"/>
      </rPr>
      <t>(AC)</t>
    </r>
  </si>
  <si>
    <r>
      <t xml:space="preserve">Labor Cost </t>
    </r>
    <r>
      <rPr>
        <sz val="11"/>
        <color theme="1"/>
        <rFont val="Calibri"/>
        <family val="2"/>
        <scheme val="minor"/>
      </rPr>
      <t>(AC)</t>
    </r>
  </si>
  <si>
    <r>
      <t xml:space="preserve">Materials </t>
    </r>
    <r>
      <rPr>
        <sz val="11"/>
        <color theme="1"/>
        <rFont val="Calibri"/>
        <family val="2"/>
        <scheme val="minor"/>
      </rPr>
      <t>(CL4)</t>
    </r>
  </si>
  <si>
    <r>
      <t xml:space="preserve">Hours </t>
    </r>
    <r>
      <rPr>
        <sz val="11"/>
        <color theme="1"/>
        <rFont val="Calibri"/>
        <family val="2"/>
        <scheme val="minor"/>
      </rPr>
      <t>(CL4)</t>
    </r>
  </si>
  <si>
    <r>
      <t xml:space="preserve">Labor Cost </t>
    </r>
    <r>
      <rPr>
        <sz val="11"/>
        <color theme="1"/>
        <rFont val="Calibri"/>
        <family val="2"/>
        <scheme val="minor"/>
      </rPr>
      <t>(CL4)</t>
    </r>
  </si>
  <si>
    <r>
      <t xml:space="preserve">Total </t>
    </r>
    <r>
      <rPr>
        <sz val="11"/>
        <color theme="1"/>
        <rFont val="Calibri"/>
        <family val="2"/>
        <scheme val="minor"/>
      </rPr>
      <t>(AC)</t>
    </r>
  </si>
  <si>
    <r>
      <t xml:space="preserve">Total </t>
    </r>
    <r>
      <rPr>
        <sz val="11"/>
        <color theme="1"/>
        <rFont val="Calibri"/>
        <family val="2"/>
        <scheme val="minor"/>
      </rPr>
      <t>(CL4)</t>
    </r>
  </si>
  <si>
    <t>Site Walk / Site Survey</t>
  </si>
  <si>
    <t>Complete a detailed site walk to review electrical panels in the MDF and IDF locations</t>
  </si>
  <si>
    <t>Electrical Panel Audit</t>
  </si>
  <si>
    <t>Complete a full audit of electrical panels and capacity</t>
  </si>
  <si>
    <t>Sub Total</t>
  </si>
  <si>
    <t>*Requires Building Shutdown</t>
  </si>
  <si>
    <t>Design</t>
  </si>
  <si>
    <t>Power Design</t>
  </si>
  <si>
    <t>Design a code compliant power system for the MDF and 5 IDF locations</t>
  </si>
  <si>
    <t>Plan Check and Review</t>
  </si>
  <si>
    <t>Provide plans to AHJ for review and approval</t>
  </si>
  <si>
    <t>Design Revisions</t>
  </si>
  <si>
    <t xml:space="preserve">Assume 1 design revision </t>
  </si>
  <si>
    <t>Permits</t>
  </si>
  <si>
    <t xml:space="preserve">Provide required work permits </t>
  </si>
  <si>
    <t>MDF</t>
  </si>
  <si>
    <t>Installation of conduit and junction boxes from panel to main rack</t>
  </si>
  <si>
    <t xml:space="preserve">Conduit </t>
  </si>
  <si>
    <t xml:space="preserve">3/4 in Conduit </t>
  </si>
  <si>
    <t>Receptical</t>
  </si>
  <si>
    <t>Generic</t>
  </si>
  <si>
    <t>Boxes</t>
  </si>
  <si>
    <t>Misc</t>
  </si>
  <si>
    <t>Panel Work</t>
  </si>
  <si>
    <t xml:space="preserve">Installation of breakers and wiring </t>
  </si>
  <si>
    <t xml:space="preserve">Breaker </t>
  </si>
  <si>
    <t>Wiring</t>
  </si>
  <si>
    <t>PDU</t>
  </si>
  <si>
    <t>Install and connect PDU's for equipment connectivity</t>
  </si>
  <si>
    <t>PDU Installation</t>
  </si>
  <si>
    <t>Panduit</t>
  </si>
  <si>
    <t>Cable Installation</t>
  </si>
  <si>
    <t>Install 10ft #10 AWG Cable</t>
  </si>
  <si>
    <t>Power Cable</t>
  </si>
  <si>
    <t>#14</t>
  </si>
  <si>
    <t xml:space="preserve">FMP Head End </t>
  </si>
  <si>
    <t>Install Transmitter Chassis, Power Supplies, and Transmitter</t>
  </si>
  <si>
    <t>Chassis</t>
  </si>
  <si>
    <t>Transmitters</t>
  </si>
  <si>
    <t>PSU</t>
  </si>
  <si>
    <t>IDF 1</t>
  </si>
  <si>
    <t>LV Pathway Installation</t>
  </si>
  <si>
    <t>Install J-Hooks or similar to support Fiber and CL4 Cable</t>
  </si>
  <si>
    <t>J-Hooks</t>
  </si>
  <si>
    <t>Conduit</t>
  </si>
  <si>
    <t>Generic 3/4 in Conduit</t>
  </si>
  <si>
    <t>Generis</t>
  </si>
  <si>
    <t xml:space="preserve">Generic </t>
  </si>
  <si>
    <t xml:space="preserve">Electrical Panel &amp; Recepticals Recepticals </t>
  </si>
  <si>
    <t xml:space="preserve">Install new electrical panel with breakers </t>
  </si>
  <si>
    <t xml:space="preserve">Panel </t>
  </si>
  <si>
    <t>Breakers</t>
  </si>
  <si>
    <t xml:space="preserve">CL4 Cable Installation </t>
  </si>
  <si>
    <t xml:space="preserve">CL4 Cable </t>
  </si>
  <si>
    <t>Fiber Cable Installation</t>
  </si>
  <si>
    <t xml:space="preserve">Fiber Cable </t>
  </si>
  <si>
    <t>12-Strand Generic</t>
  </si>
  <si>
    <t>Connectors</t>
  </si>
  <si>
    <t>SM Connector</t>
  </si>
  <si>
    <t>Fiber Cable</t>
  </si>
  <si>
    <t>Electrical</t>
  </si>
  <si>
    <t>#8Generic</t>
  </si>
  <si>
    <t>FMP Hardwarer</t>
  </si>
  <si>
    <t>Receiver</t>
  </si>
  <si>
    <t>PRX</t>
  </si>
  <si>
    <t>IDF 2</t>
  </si>
  <si>
    <t>Cable</t>
  </si>
  <si>
    <t>#6Generic</t>
  </si>
  <si>
    <t>IDF 3</t>
  </si>
  <si>
    <t>#12 Generic</t>
  </si>
  <si>
    <t>IDF 4</t>
  </si>
  <si>
    <t>#4 Generic</t>
  </si>
  <si>
    <t>IDF 5</t>
  </si>
  <si>
    <t>Transformer</t>
  </si>
  <si>
    <t>#1 Generic</t>
  </si>
  <si>
    <t>General</t>
  </si>
  <si>
    <t>Cable Management</t>
  </si>
  <si>
    <t>General cable management and slack management</t>
  </si>
  <si>
    <t xml:space="preserve">Labeling </t>
  </si>
  <si>
    <t xml:space="preserve">Labeling of all cables </t>
  </si>
  <si>
    <t>Labels</t>
  </si>
  <si>
    <t>Documentation</t>
  </si>
  <si>
    <t xml:space="preserve">Provide asbuilt drawings </t>
  </si>
  <si>
    <t>Inspections</t>
  </si>
  <si>
    <t>Assist with required inspections and onsite review</t>
  </si>
  <si>
    <t>Grand Total</t>
  </si>
  <si>
    <t>Outdoor Installation Scope</t>
  </si>
  <si>
    <t xml:space="preserve">includes backfill </t>
  </si>
  <si>
    <t>Trenching Labor</t>
  </si>
  <si>
    <t xml:space="preserve">Directional Boring </t>
  </si>
  <si>
    <t>Design a code compliant power system for the MDF and 4 IDF locations</t>
  </si>
  <si>
    <t>1 in</t>
  </si>
  <si>
    <t>Indoor Transformer</t>
  </si>
  <si>
    <t>12-Strand Generic I/O</t>
  </si>
  <si>
    <t>6AWG</t>
  </si>
  <si>
    <t>FMPS</t>
  </si>
  <si>
    <t>16AWG I/O</t>
  </si>
  <si>
    <t>Lightning Protection</t>
  </si>
  <si>
    <t>Install lighting protection at building entrance point</t>
  </si>
  <si>
    <t>Building Entrance Panel</t>
  </si>
  <si>
    <t>Outdoor Service Entrance Panel</t>
  </si>
  <si>
    <t xml:space="preserve">DC SPD </t>
  </si>
  <si>
    <t>Annex Building (IDF)</t>
  </si>
  <si>
    <t>Install low voltage 2 duct conduit system (Micro Trench)</t>
  </si>
  <si>
    <t xml:space="preserve">LV Flex Conduit </t>
  </si>
  <si>
    <t>Generic 2 duct flex</t>
  </si>
  <si>
    <t>Backfill</t>
  </si>
  <si>
    <t>Class 1 Electrical Pathway</t>
  </si>
  <si>
    <t>Generic 2in Sch 40</t>
  </si>
  <si>
    <t>Handholds</t>
  </si>
  <si>
    <t>SPD</t>
  </si>
  <si>
    <t>Parking Garage A - Camera Switch</t>
  </si>
  <si>
    <t>Jogging Path - Emergency Phone</t>
  </si>
  <si>
    <t>North Parking Lot - Power Distribution</t>
  </si>
  <si>
    <t>#2Generic</t>
  </si>
  <si>
    <t xml:space="preserve">Mixed vs Class 2 </t>
  </si>
  <si>
    <t>DC SPD</t>
  </si>
  <si>
    <t>Head End Power Equipment</t>
  </si>
  <si>
    <t>Power Supply</t>
  </si>
  <si>
    <t>Berk</t>
  </si>
  <si>
    <t>Power Transmitter</t>
  </si>
  <si>
    <t>Media Converter</t>
  </si>
  <si>
    <t>Generic - Modular - 4 port</t>
  </si>
  <si>
    <t xml:space="preserve">Annex Building (500watts) Existing Pathway </t>
  </si>
  <si>
    <t>Composite Cable</t>
  </si>
  <si>
    <t>4C-8f</t>
  </si>
  <si>
    <t>2C-2f</t>
  </si>
  <si>
    <t>Install lightning protection at the end device location</t>
  </si>
  <si>
    <t>Remote Side Hardware</t>
  </si>
  <si>
    <t>Media Converter 4P</t>
  </si>
  <si>
    <t>Media Converter 2P</t>
  </si>
  <si>
    <t>Generic - 4PoE</t>
  </si>
  <si>
    <t>Parking Garage A (400watts) Security Camera</t>
  </si>
  <si>
    <t xml:space="preserve">Jogging Path Emergency Phone (250watts) </t>
  </si>
  <si>
    <t>North Parking Lot (200watts)</t>
  </si>
  <si>
    <t>*Not Validated</t>
  </si>
  <si>
    <t>Category</t>
  </si>
  <si>
    <t xml:space="preserve">Part Type </t>
  </si>
  <si>
    <t>Part Manufacturer</t>
  </si>
  <si>
    <t xml:space="preserve">Part Number </t>
  </si>
  <si>
    <t xml:space="preserve">Part Description </t>
  </si>
  <si>
    <t xml:space="preserve">Quantity </t>
  </si>
  <si>
    <t xml:space="preserve">Unit Price </t>
  </si>
  <si>
    <t>Extended Price</t>
  </si>
  <si>
    <t>FMP Head End</t>
  </si>
  <si>
    <t>FMP IDF</t>
  </si>
  <si>
    <t>FMP Cable</t>
  </si>
  <si>
    <t>Indoor</t>
  </si>
  <si>
    <t xml:space="preserve">Indoor/Outdoor </t>
  </si>
  <si>
    <t>AC Panel</t>
  </si>
  <si>
    <t>Breaker</t>
  </si>
  <si>
    <t>AC Transformer</t>
  </si>
  <si>
    <t>Indoor Transformer (10KVA)</t>
  </si>
  <si>
    <t>Outdoor Transformer</t>
  </si>
  <si>
    <t>AC Pathway</t>
  </si>
  <si>
    <t>Conduit 1in</t>
  </si>
  <si>
    <t>Conduit 1.5in</t>
  </si>
  <si>
    <t>Supports</t>
  </si>
  <si>
    <t>Recepticals</t>
  </si>
  <si>
    <t>Ourdoor Conduit 2 in</t>
  </si>
  <si>
    <t>AC Cable</t>
  </si>
  <si>
    <t>#12 - 3</t>
  </si>
  <si>
    <t>#10 - 3</t>
  </si>
  <si>
    <t>#8 - 3</t>
  </si>
  <si>
    <t>#6 - 3</t>
  </si>
  <si>
    <t>#2 - 3</t>
  </si>
  <si>
    <t>#1 - 3</t>
  </si>
  <si>
    <t>Fiber</t>
  </si>
  <si>
    <t>12 - Plenum</t>
  </si>
  <si>
    <t>12 - I/O</t>
  </si>
  <si>
    <t>Pathway</t>
  </si>
  <si>
    <t>J-Hook</t>
  </si>
  <si>
    <t>Innerduct - 2 Duct</t>
  </si>
  <si>
    <t>Conduit - Schedule 40</t>
  </si>
  <si>
    <t>Class 2</t>
  </si>
  <si>
    <t xml:space="preserve">Berk Head End </t>
  </si>
  <si>
    <t>Berk PSU</t>
  </si>
  <si>
    <t>Berk 4 port Transmitter</t>
  </si>
  <si>
    <t>Berk 4 port remote</t>
  </si>
  <si>
    <t>Berk Cable</t>
  </si>
  <si>
    <t>4 con - 8 fiber</t>
  </si>
  <si>
    <t>Low Voltage</t>
  </si>
  <si>
    <t>Labor Cost</t>
  </si>
  <si>
    <t>Materials</t>
  </si>
  <si>
    <t>Total</t>
  </si>
  <si>
    <t>Description of Installation</t>
  </si>
  <si>
    <t>Units</t>
  </si>
  <si>
    <t>A/C</t>
  </si>
  <si>
    <t>CL4</t>
  </si>
  <si>
    <t>Pre  Design</t>
  </si>
  <si>
    <t>Notes</t>
  </si>
  <si>
    <t xml:space="preserve">Design &amp; Permitting </t>
  </si>
  <si>
    <t>Utilities Locating</t>
  </si>
  <si>
    <t>Identify utility locations prior to installation</t>
  </si>
  <si>
    <t>MDF Installation</t>
  </si>
  <si>
    <t>Electrical Shutdown</t>
  </si>
  <si>
    <t>Required shutdown for electrical panel work (Shut down to add circuits to panel)</t>
  </si>
  <si>
    <t>Transformer Installation</t>
  </si>
  <si>
    <t>Installation of 208v to 480v AC transformer</t>
  </si>
  <si>
    <t xml:space="preserve">Outlet </t>
  </si>
  <si>
    <t>Install 1 new outlets to the main equipment racks</t>
  </si>
  <si>
    <t>IDF () - Pathway &amp; Cable Installation</t>
  </si>
  <si>
    <t>Receptical Installation</t>
  </si>
  <si>
    <t>Install twist-lock receptical for PDUs</t>
  </si>
  <si>
    <t>CL4 Cable Installation</t>
  </si>
  <si>
    <t>Install and terminate CL4 cables within the designated pathway</t>
  </si>
  <si>
    <t>Fiber Installation</t>
  </si>
  <si>
    <t xml:space="preserve">Install 12 Strand SM fiber </t>
  </si>
  <si>
    <t>Standard Trenching</t>
  </si>
  <si>
    <t>Standard trechning for LV cables</t>
  </si>
  <si>
    <t>Micro-trenching</t>
  </si>
  <si>
    <t>Micro trenching for LV cables</t>
  </si>
  <si>
    <t xml:space="preserve">Utility Installation </t>
  </si>
  <si>
    <t xml:space="preserve">Trenching for utility power </t>
  </si>
  <si>
    <t xml:space="preserve">Power cable installation </t>
  </si>
  <si>
    <t xml:space="preserve">Lightining Protection </t>
  </si>
  <si>
    <t>Install lightning protection at the building egress and the remote location</t>
  </si>
  <si>
    <t>Provide a building entrance panel for AC power at the building egress</t>
  </si>
  <si>
    <t>Electrical Panel Installation</t>
  </si>
  <si>
    <t>Vertical coring include x-ray</t>
  </si>
  <si>
    <t xml:space="preserve">Complete the required electrical shutdowns to install or modify electrical panels </t>
  </si>
  <si>
    <t>General Installation</t>
  </si>
  <si>
    <t xml:space="preserve">Cable Management </t>
  </si>
  <si>
    <t>Assist with reqwuired inspections and onsite review</t>
  </si>
  <si>
    <t>Task</t>
  </si>
  <si>
    <t>Planning avg time (hr/ft)</t>
  </si>
  <si>
    <t>Planning avg labor cost (ex-materials) $/ft</t>
  </si>
  <si>
    <t>Planning avg materials cost $/ft</t>
  </si>
  <si>
    <t>materials (examples)</t>
  </si>
  <si>
    <t>Micro-trenching (2-duct “flex” with two 1.25″ ducts)</t>
  </si>
  <si>
    <r>
      <t xml:space="preserve">0.003 (≈20 sec)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from ~300–1,000 ft/hr production; see sources</t>
    </r>
  </si>
  <si>
    <r>
      <t>$12.0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using typical total ~$15/ft less materials below</t>
    </r>
  </si>
  <si>
    <r>
      <t>$2.75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= (2 × 1.25″ HDPE @ ~$0.48/ft) + micro-trench grout ~$1–$2/ft + surface seal allowance</t>
    </r>
  </si>
  <si>
    <t>1) Dura-Line 1.25″ SDR-11 HDPE (or FuturePath 2-way) 
2) Micro-trench grout/slurry (e.g., Quanta “SuperGrout”) 
3) Surface seal/patch (asphalt/cold-patch or mastic) thewaterworkswarehouse.comduraline.com+1Defaultundergroundinfrastructure.com</t>
  </si>
  <si>
    <t>2″ Class 1 power conduit in trench (PVC Sch 40)</t>
  </si>
  <si>
    <r>
      <t>0.08</t>
    </r>
    <r>
      <rPr>
        <sz val="11"/>
        <color theme="1"/>
        <rFont val="Calibri"/>
        <family val="2"/>
        <scheme val="minor"/>
      </rPr>
      <t xml:space="preserve"> (NECA normal conditions)</t>
    </r>
  </si>
  <si>
    <r>
      <t>$3.3–$6.0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→ 0.08 hr/ft × loaded wage: (a) non-union median ~$41.5/hr ≈ $3.32/ft; (b) higher-burden ~$75/hr ≈ $6/ft</t>
    </r>
  </si>
  <si>
    <r>
      <t>$1.7–$2.5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= PVC Sch40 $1.18–$2.41/ft + primer/cement + caution tape allowance</t>
    </r>
  </si>
  <si>
    <t>1) 2″ PVC Sch 40 conduit (bell end) 
2) PVC primer &amp; cement 
3) Underground warning tape (red “Electric”) Champion FiberglassBureau of Labor Statistics+1elliottelectric.comThe Home Depot+1</t>
  </si>
  <si>
    <r>
      <t xml:space="preserve">HDD (directional boring) 2″ conduit for </t>
    </r>
    <r>
      <rPr>
        <b/>
        <sz val="11"/>
        <color theme="1"/>
        <rFont val="Calibri"/>
        <family val="2"/>
        <scheme val="minor"/>
      </rPr>
      <t>LV</t>
    </r>
  </si>
  <si>
    <r>
      <t>0.008</t>
    </r>
    <r>
      <rPr>
        <sz val="11"/>
        <color theme="1"/>
        <rFont val="Calibri"/>
        <family val="2"/>
        <scheme val="minor"/>
      </rPr>
      <t xml:space="preserve"> (≈7×10⁻³ hr/ft) typical; slower in adverse soils 0.02–0.03</t>
    </r>
  </si>
  <si>
    <r>
      <t>$18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using municipal bid means ($14–$24/ft) minus materials below</t>
    </r>
  </si>
  <si>
    <r>
      <t>$0.88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= 2″ HDPE SDR-11 ~$0.66/ft + 1/2″ 1,250-lb pull tape ~$0.10/ft + #12 tracer wire ~$0.11/ft</t>
    </r>
  </si>
  <si>
    <t>1) 2″ HDPE SDR-11/13.5 conduit 
2) 1/2″ 1,250-lb pull tape 
3) #12 CCS tracer wire (PE-30) Vermeer Pro tipsCOREMilwaukee CountyCity of De Pere, WisconsinHomeGuidethewaterworkswarehouse.comThe Home Depotgeorgiaunderground.net</t>
  </si>
  <si>
    <r>
      <t xml:space="preserve">HDD (directional boring) 2″ conduit for </t>
    </r>
    <r>
      <rPr>
        <b/>
        <sz val="11"/>
        <color theme="1"/>
        <rFont val="Calibri"/>
        <family val="2"/>
        <scheme val="minor"/>
      </rPr>
      <t>HV</t>
    </r>
  </si>
  <si>
    <r>
      <t>0.008</t>
    </r>
    <r>
      <rPr>
        <sz val="11"/>
        <color theme="1"/>
        <rFont val="Calibri"/>
        <family val="2"/>
        <scheme val="minor"/>
      </rPr>
      <t xml:space="preserve"> (same bore productivity; separations drive layout, not feet/min)</t>
    </r>
  </si>
  <si>
    <r>
      <t>$14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based on bid tabs specifying bored 2″ PVC at ~$14.4–$15/ft, net of materials below</t>
    </r>
  </si>
  <si>
    <r>
      <t>$1.3–$2.4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(calculated)</t>
    </r>
    <r>
      <rPr>
        <sz val="11"/>
        <color theme="1"/>
        <rFont val="Calibri"/>
        <family val="2"/>
        <scheme val="minor"/>
      </rPr>
      <t xml:space="preserve"> if PVC Sch40 is spec for the pull: conduit $1.18–$2.41/ft + lube allowance</t>
    </r>
  </si>
  <si>
    <t>1) 2″ conduit per spec (many municipal specs show PVC Sch 40 for bored installations) 
2) Pulling head/tape 
3) Duct lubricant Milwaukee Countyelliottelectric.comThe Home Depot+1</t>
  </si>
  <si>
    <t>What’s corroborated (2+ sources):</t>
  </si>
  <si>
    <t>• Micro-trenching width/depth &amp; “~$15/ft” total cost order-of-magnitude; multiple trade articles and vendor brochures agree on high productivity and reduced restoration. duraline.comundergroundinfrastructure.com</t>
  </si>
  <si>
    <t>• NECA labor units for 2″ PVC (8 man-hours/100 ft). Champion Fiberglass</t>
  </si>
  <si>
    <r>
      <t xml:space="preserve">• HDD daily production near </t>
    </r>
    <r>
      <rPr>
        <b/>
        <sz val="11"/>
        <color theme="1"/>
        <rFont val="Calibri"/>
        <family val="2"/>
        <scheme val="minor"/>
      </rPr>
      <t>~1,000 ft/day</t>
    </r>
    <r>
      <rPr>
        <sz val="11"/>
        <color theme="1"/>
        <rFont val="Calibri"/>
        <family val="2"/>
        <scheme val="minor"/>
      </rPr>
      <t xml:space="preserve"> as a common target, with academic/field literature showing much slower rates in specific soils (≈40 ft/hr). Vermeer Pro tipsCORE</t>
    </r>
  </si>
  <si>
    <r>
      <t xml:space="preserve">• Municipal bid tabs for </t>
    </r>
    <r>
      <rPr>
        <b/>
        <sz val="11"/>
        <color theme="1"/>
        <rFont val="Calibri"/>
        <family val="2"/>
        <scheme val="minor"/>
      </rPr>
      <t>bored 2″ conduit</t>
    </r>
    <r>
      <rPr>
        <sz val="11"/>
        <color theme="1"/>
        <rFont val="Calibri"/>
        <family val="2"/>
        <scheme val="minor"/>
      </rPr>
      <t xml:space="preserve"> cluster between </t>
    </r>
    <r>
      <rPr>
        <b/>
        <sz val="11"/>
        <color theme="1"/>
        <rFont val="Calibri"/>
        <family val="2"/>
        <scheme val="minor"/>
      </rPr>
      <t>~$14–$24/ft</t>
    </r>
    <r>
      <rPr>
        <sz val="11"/>
        <color theme="1"/>
        <rFont val="Calibri"/>
        <family val="2"/>
        <scheme val="minor"/>
      </rPr>
      <t>. Milwaukee CountyCity of De Pere, Wisconsin</t>
    </r>
  </si>
  <si>
    <t>(validation notes)</t>
  </si>
  <si>
    <t>1. Materials unit costs</t>
  </si>
  <si>
    <t>• 1.25″ HDPE SDR-11 orange: $3,850 per 8,000′ → $0.48/ft (The Waterworks Warehouse). thewaterworkswarehouse.com</t>
  </si>
  <si>
    <t>• 2″ HDPE SDR-11 orange: $2,650 per 4,000′ → $0.66/ft (same supplier). thewaterworkswarehouse.com</t>
  </si>
  <si>
    <r>
      <t xml:space="preserve">• 2″ PVC Sch40 conduit: retail/distributor spread </t>
    </r>
    <r>
      <rPr>
        <b/>
        <sz val="11"/>
        <color theme="1"/>
        <rFont val="Calibri"/>
        <family val="2"/>
        <scheme val="minor"/>
      </rPr>
      <t>$1.18–$2.41/ft</t>
    </r>
    <r>
      <rPr>
        <sz val="11"/>
        <color theme="1"/>
        <rFont val="Calibri"/>
        <family val="2"/>
        <scheme val="minor"/>
      </rPr>
      <t xml:space="preserve"> (Elliott Electric, Home Depot, Lowe’s). elliottelectric.comThe Home Depot+1</t>
    </r>
  </si>
  <si>
    <t>• Pull tape 1/2″, 1,250-lb: $311.56/3,000′ → $0.104/ft (Home Depot). The Home Depot</t>
  </si>
  <si>
    <t>• #12 tracer wire CCS PE-30: $0.113/ft (Georgia Underground). georgiaunderground.net</t>
  </si>
  <si>
    <r>
      <t xml:space="preserve">• Micro-trench grout/slurry: industry articles cite </t>
    </r>
    <r>
      <rPr>
        <b/>
        <sz val="11"/>
        <color theme="1"/>
        <rFont val="Calibri"/>
        <family val="2"/>
        <scheme val="minor"/>
      </rPr>
      <t>~$1–$2/ft</t>
    </r>
    <r>
      <rPr>
        <sz val="11"/>
        <color theme="1"/>
        <rFont val="Calibri"/>
        <family val="2"/>
        <scheme val="minor"/>
      </rPr>
      <t xml:space="preserve"> allowance (process descriptions + cost mentions). For Construction ProsDefault</t>
    </r>
  </si>
  <si>
    <t>2. Labor time/productivity.</t>
  </si>
  <si>
    <t>• NECA labor units (open-cut 2″ PVC): 8 man-hours/100′ → 0.08 hr/ft. Champion Fiberglass</t>
  </si>
  <si>
    <r>
      <t xml:space="preserve">• </t>
    </r>
    <r>
      <rPr>
        <b/>
        <sz val="11"/>
        <color theme="1"/>
        <rFont val="Calibri"/>
        <family val="2"/>
        <scheme val="minor"/>
      </rPr>
      <t>Micro-trenching</t>
    </r>
    <r>
      <rPr>
        <sz val="11"/>
        <color theme="1"/>
        <rFont val="Calibri"/>
        <family val="2"/>
        <scheme val="minor"/>
      </rPr>
      <t xml:space="preserve"> production: vendor &amp; trade sources show </t>
    </r>
    <r>
      <rPr>
        <b/>
        <sz val="11"/>
        <color theme="1"/>
        <rFont val="Calibri"/>
        <family val="2"/>
        <scheme val="minor"/>
      </rPr>
      <t>~3,000 ft/day</t>
    </r>
    <r>
      <rPr>
        <sz val="11"/>
        <color theme="1"/>
        <rFont val="Calibri"/>
        <family val="2"/>
        <scheme val="minor"/>
      </rPr>
      <t xml:space="preserve"> (installation) and </t>
    </r>
    <r>
      <rPr>
        <b/>
        <sz val="11"/>
        <color theme="1"/>
        <rFont val="Calibri"/>
        <family val="2"/>
        <scheme val="minor"/>
      </rPr>
      <t>35 ft/min</t>
    </r>
    <r>
      <rPr>
        <sz val="11"/>
        <color theme="1"/>
        <rFont val="Calibri"/>
        <family val="2"/>
        <scheme val="minor"/>
      </rPr>
      <t xml:space="preserve"> cutting; I used a trimmed average to a planning rate of </t>
    </r>
    <r>
      <rPr>
        <b/>
        <sz val="11"/>
        <color theme="1"/>
        <rFont val="Calibri"/>
        <family val="2"/>
        <scheme val="minor"/>
      </rPr>
      <t>~300–1,000 ft/hr</t>
    </r>
    <r>
      <rPr>
        <sz val="11"/>
        <color theme="1"/>
        <rFont val="Calibri"/>
        <family val="2"/>
        <scheme val="minor"/>
      </rPr>
      <t xml:space="preserve"> and set </t>
    </r>
    <r>
      <rPr>
        <b/>
        <sz val="11"/>
        <color theme="1"/>
        <rFont val="Calibri"/>
        <family val="2"/>
        <scheme val="minor"/>
      </rPr>
      <t>0.003 hr/ft</t>
    </r>
    <r>
      <rPr>
        <sz val="11"/>
        <color theme="1"/>
        <rFont val="Calibri"/>
        <family val="2"/>
        <scheme val="minor"/>
      </rPr>
      <t xml:space="preserve"> for estimating. FiberLightCompact Equipment MagazineUtility Contractor Magazine</t>
    </r>
  </si>
  <si>
    <r>
      <t xml:space="preserve">• </t>
    </r>
    <r>
      <rPr>
        <b/>
        <sz val="11"/>
        <color theme="1"/>
        <rFont val="Calibri"/>
        <family val="2"/>
        <scheme val="minor"/>
      </rPr>
      <t>HDD</t>
    </r>
    <r>
      <rPr>
        <sz val="11"/>
        <color theme="1"/>
        <rFont val="Calibri"/>
        <family val="2"/>
        <scheme val="minor"/>
      </rPr>
      <t xml:space="preserve"> production: Vermeer guidance (“if you’re not getting ~1,000 ft/day you’re leaving productivity on the table”) and literature showing </t>
    </r>
    <r>
      <rPr>
        <b/>
        <sz val="11"/>
        <color theme="1"/>
        <rFont val="Calibri"/>
        <family val="2"/>
        <scheme val="minor"/>
      </rPr>
      <t>~37.5 ft/hr</t>
    </r>
    <r>
      <rPr>
        <sz val="11"/>
        <color theme="1"/>
        <rFont val="Calibri"/>
        <family val="2"/>
        <scheme val="minor"/>
      </rPr>
      <t xml:space="preserve"> in sandy soils → I present </t>
    </r>
    <r>
      <rPr>
        <b/>
        <sz val="11"/>
        <color theme="1"/>
        <rFont val="Calibri"/>
        <family val="2"/>
        <scheme val="minor"/>
      </rPr>
      <t>0.008 hr/ft</t>
    </r>
    <r>
      <rPr>
        <sz val="11"/>
        <color theme="1"/>
        <rFont val="Calibri"/>
        <family val="2"/>
        <scheme val="minor"/>
      </rPr>
      <t xml:space="preserve"> typical with a slower bound </t>
    </r>
    <r>
      <rPr>
        <b/>
        <sz val="11"/>
        <color theme="1"/>
        <rFont val="Calibri"/>
        <family val="2"/>
        <scheme val="minor"/>
      </rPr>
      <t>0.02–0.03 hr/ft</t>
    </r>
    <r>
      <rPr>
        <sz val="11"/>
        <color theme="1"/>
        <rFont val="Calibri"/>
        <family val="2"/>
        <scheme val="minor"/>
      </rPr>
      <t>. Vermeer Pro tipsCORE</t>
    </r>
  </si>
  <si>
    <t>3. Labor $/ft (burdened).</t>
  </si>
  <si>
    <t>• BLS median electrician wage ≈ $29.61/hr, with typical burdens ~25–40%+; I used ~40% (BLS ECEC benchmark) → ~$41.5/hr as a non-union national planning rate. Union/high-burden examples push $60–$90/hr; I show sensitivity. 2″ PVC in trench: 0.08 hr/ft × $41.5/hr ≈ $3.32/ft (non-union) to ~$6/ft (higher burden). Bureau of Labor Statistics+1</t>
  </si>
  <si>
    <r>
      <t xml:space="preserve">• For </t>
    </r>
    <r>
      <rPr>
        <b/>
        <sz val="11"/>
        <color theme="1"/>
        <rFont val="Calibri"/>
        <family val="2"/>
        <scheme val="minor"/>
      </rPr>
      <t>micro-trenching and HDD</t>
    </r>
    <r>
      <rPr>
        <sz val="11"/>
        <color theme="1"/>
        <rFont val="Calibri"/>
        <family val="2"/>
        <scheme val="minor"/>
      </rPr>
      <t xml:space="preserve">, market pricing is commonly provided as </t>
    </r>
    <r>
      <rPr>
        <b/>
        <sz val="11"/>
        <color theme="1"/>
        <rFont val="Calibri"/>
        <family val="2"/>
        <scheme val="minor"/>
      </rPr>
      <t>unit price per foot</t>
    </r>
    <r>
      <rPr>
        <sz val="11"/>
        <color theme="1"/>
        <rFont val="Calibri"/>
        <family val="2"/>
        <scheme val="minor"/>
      </rPr>
      <t xml:space="preserve">. I back-solved </t>
    </r>
    <r>
      <rPr>
        <b/>
        <sz val="11"/>
        <color theme="1"/>
        <rFont val="Calibri"/>
        <family val="2"/>
        <scheme val="minor"/>
      </rPr>
      <t>labor+equipment</t>
    </r>
    <r>
      <rPr>
        <sz val="11"/>
        <color theme="1"/>
        <rFont val="Calibri"/>
        <family val="2"/>
        <scheme val="minor"/>
      </rPr>
      <t xml:space="preserve"> by subtracting the material basket above from those unit prices, yielding </t>
    </r>
    <r>
      <rPr>
        <b/>
        <sz val="11"/>
        <color theme="1"/>
        <rFont val="Calibri"/>
        <family val="2"/>
        <scheme val="minor"/>
      </rPr>
      <t>≈$12/ft</t>
    </r>
    <r>
      <rPr>
        <sz val="11"/>
        <color theme="1"/>
        <rFont val="Calibri"/>
        <family val="2"/>
        <scheme val="minor"/>
      </rPr>
      <t xml:space="preserve"> (micro-trench from ~$15/ft) and </t>
    </r>
    <r>
      <rPr>
        <b/>
        <sz val="11"/>
        <color theme="1"/>
        <rFont val="Calibri"/>
        <family val="2"/>
        <scheme val="minor"/>
      </rPr>
      <t>≈$14–$18/ft</t>
    </r>
    <r>
      <rPr>
        <sz val="11"/>
        <color theme="1"/>
        <rFont val="Calibri"/>
        <family val="2"/>
        <scheme val="minor"/>
      </rPr>
      <t xml:space="preserve"> (HDD 2″, depending on spec). undergroundinfrastructure.comMilwaukee CountyCity of De Pere, Wisconsin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</si>
</sst>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&quot;$&quot;#,##0.0_);[Red]\(&quot;$&quot;#,##0.0\)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2F2F2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1" tint="0.499984740745262"/>
        <bgColor theme="4"/>
      </patternFill>
    </fill>
    <fill>
      <patternFill patternType="solid">
        <fgColor theme="3" tint="-0.249977111117893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theme="4"/>
      </patternFill>
    </fill>
  </fills>
  <borders count="2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theme="8"/>
      </left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theme="4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4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87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1" fillId="3" borderId="3" xfId="0" applyFont="1" applyFill="1" applyBorder="1" applyAlignment="1">
      <alignment horizontal="left"/>
    </xf>
    <xf numFmtId="0" fontId="0" fillId="3" borderId="3" xfId="0" applyFill="1" applyBorder="1"/>
    <xf numFmtId="0" fontId="2" fillId="3" borderId="4" xfId="0" applyFont="1" applyFill="1" applyBorder="1"/>
    <xf numFmtId="0" fontId="0" fillId="3" borderId="12" xfId="0" applyFill="1" applyBorder="1"/>
    <xf numFmtId="0" fontId="2" fillId="0" borderId="13" xfId="0" applyFont="1" applyBorder="1" applyAlignment="1">
      <alignment horizontal="center" vertical="top"/>
    </xf>
    <xf numFmtId="44" fontId="0" fillId="4" borderId="3" xfId="2" applyFon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44" fontId="0" fillId="5" borderId="16" xfId="2" applyFont="1" applyFill="1" applyBorder="1"/>
    <xf numFmtId="164" fontId="0" fillId="5" borderId="16" xfId="0" applyNumberFormat="1" applyFill="1" applyBorder="1"/>
    <xf numFmtId="0" fontId="2" fillId="6" borderId="0" xfId="0" applyFont="1" applyFill="1"/>
    <xf numFmtId="0" fontId="0" fillId="7" borderId="0" xfId="0" applyFill="1"/>
    <xf numFmtId="0" fontId="0" fillId="0" borderId="3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9" borderId="22" xfId="0" applyFont="1" applyFill="1" applyBorder="1"/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center" vertical="top"/>
    </xf>
    <xf numFmtId="0" fontId="0" fillId="0" borderId="22" xfId="0" applyBorder="1" applyAlignment="1">
      <alignment horizontal="left" vertical="top" wrapText="1"/>
    </xf>
    <xf numFmtId="0" fontId="1" fillId="10" borderId="22" xfId="0" applyFont="1" applyFill="1" applyBorder="1"/>
    <xf numFmtId="0" fontId="1" fillId="11" borderId="22" xfId="0" applyFont="1" applyFill="1" applyBorder="1"/>
    <xf numFmtId="0" fontId="1" fillId="12" borderId="22" xfId="0" applyFont="1" applyFill="1" applyBorder="1"/>
    <xf numFmtId="2" fontId="0" fillId="4" borderId="3" xfId="2" applyNumberFormat="1" applyFont="1" applyFill="1" applyBorder="1" applyAlignment="1">
      <alignment horizontal="center" vertical="center"/>
    </xf>
    <xf numFmtId="2" fontId="0" fillId="5" borderId="16" xfId="0" applyNumberFormat="1" applyFill="1" applyBorder="1"/>
    <xf numFmtId="2" fontId="0" fillId="3" borderId="12" xfId="0" applyNumberFormat="1" applyFill="1" applyBorder="1"/>
    <xf numFmtId="44" fontId="0" fillId="4" borderId="3" xfId="0" applyNumberFormat="1" applyFill="1" applyBorder="1" applyAlignment="1">
      <alignment horizontal="center" vertical="center"/>
    </xf>
    <xf numFmtId="44" fontId="0" fillId="5" borderId="16" xfId="0" applyNumberFormat="1" applyFill="1" applyBorder="1"/>
    <xf numFmtId="44" fontId="0" fillId="3" borderId="12" xfId="0" applyNumberFormat="1" applyFill="1" applyBorder="1"/>
    <xf numFmtId="6" fontId="0" fillId="0" borderId="0" xfId="0" applyNumberFormat="1"/>
    <xf numFmtId="44" fontId="2" fillId="5" borderId="16" xfId="2" applyFont="1" applyFill="1" applyBorder="1"/>
    <xf numFmtId="165" fontId="0" fillId="0" borderId="0" xfId="0" applyNumberFormat="1"/>
    <xf numFmtId="0" fontId="2" fillId="0" borderId="23" xfId="0" applyFont="1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44" fontId="0" fillId="0" borderId="22" xfId="0" applyNumberFormat="1" applyBorder="1" applyAlignment="1">
      <alignment horizontal="center" vertical="top"/>
    </xf>
    <xf numFmtId="44" fontId="4" fillId="5" borderId="16" xfId="2" applyFont="1" applyFill="1" applyBorder="1"/>
    <xf numFmtId="0" fontId="2" fillId="0" borderId="0" xfId="0" applyFont="1" applyAlignment="1">
      <alignment horizontal="center" vertical="top"/>
    </xf>
    <xf numFmtId="0" fontId="2" fillId="13" borderId="27" xfId="0" applyFont="1" applyFill="1" applyBorder="1" applyAlignment="1">
      <alignment horizontal="center"/>
    </xf>
    <xf numFmtId="0" fontId="2" fillId="13" borderId="28" xfId="0" applyFont="1" applyFill="1" applyBorder="1" applyAlignment="1">
      <alignment horizontal="center"/>
    </xf>
    <xf numFmtId="0" fontId="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7" fillId="14" borderId="3" xfId="0" applyFont="1" applyFill="1" applyBorder="1" applyAlignment="1">
      <alignment horizontal="left" vertical="top"/>
    </xf>
    <xf numFmtId="44" fontId="7" fillId="14" borderId="3" xfId="2" applyFont="1" applyFill="1" applyBorder="1" applyAlignment="1">
      <alignment horizontal="left" vertical="top"/>
    </xf>
    <xf numFmtId="44" fontId="7" fillId="14" borderId="3" xfId="0" applyNumberFormat="1" applyFont="1" applyFill="1" applyBorder="1"/>
    <xf numFmtId="44" fontId="0" fillId="0" borderId="24" xfId="0" applyNumberFormat="1" applyBorder="1" applyAlignment="1">
      <alignment horizontal="center" vertical="center"/>
    </xf>
    <xf numFmtId="44" fontId="0" fillId="0" borderId="23" xfId="0" applyNumberFormat="1" applyBorder="1" applyAlignment="1">
      <alignment horizontal="center" vertical="center"/>
    </xf>
    <xf numFmtId="44" fontId="0" fillId="0" borderId="24" xfId="0" applyNumberFormat="1" applyBorder="1" applyAlignment="1">
      <alignment horizontal="center"/>
    </xf>
    <xf numFmtId="44" fontId="0" fillId="0" borderId="23" xfId="0" applyNumberFormat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0" fontId="2" fillId="15" borderId="27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left" vertical="top"/>
    </xf>
    <xf numFmtId="44" fontId="7" fillId="15" borderId="3" xfId="2" applyFont="1" applyFill="1" applyBorder="1" applyAlignment="1">
      <alignment horizontal="left" vertical="top"/>
    </xf>
    <xf numFmtId="44" fontId="7" fillId="15" borderId="3" xfId="0" applyNumberFormat="1" applyFont="1" applyFill="1" applyBorder="1"/>
    <xf numFmtId="0" fontId="7" fillId="13" borderId="3" xfId="0" applyFont="1" applyFill="1" applyBorder="1" applyAlignment="1">
      <alignment horizontal="left" vertical="top"/>
    </xf>
    <xf numFmtId="44" fontId="7" fillId="13" borderId="3" xfId="2" applyFont="1" applyFill="1" applyBorder="1" applyAlignment="1">
      <alignment horizontal="left" vertical="top"/>
    </xf>
    <xf numFmtId="44" fontId="7" fillId="13" borderId="3" xfId="0" applyNumberFormat="1" applyFont="1" applyFill="1" applyBorder="1"/>
    <xf numFmtId="44" fontId="1" fillId="8" borderId="0" xfId="0" applyNumberFormat="1" applyFont="1" applyFill="1"/>
    <xf numFmtId="2" fontId="1" fillId="8" borderId="0" xfId="0" applyNumberFormat="1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4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9" fillId="17" borderId="0" xfId="0" applyFont="1" applyFill="1"/>
    <xf numFmtId="44" fontId="9" fillId="17" borderId="0" xfId="0" applyNumberFormat="1" applyFont="1" applyFill="1"/>
    <xf numFmtId="2" fontId="9" fillId="17" borderId="0" xfId="0" applyNumberFormat="1" applyFont="1" applyFill="1"/>
    <xf numFmtId="0" fontId="9" fillId="16" borderId="0" xfId="0" applyFont="1" applyFill="1"/>
    <xf numFmtId="44" fontId="9" fillId="16" borderId="0" xfId="0" applyNumberFormat="1" applyFont="1" applyFill="1"/>
    <xf numFmtId="2" fontId="9" fillId="16" borderId="0" xfId="0" applyNumberFormat="1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3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0" borderId="0" xfId="3" applyAlignment="1">
      <alignment horizontal="left" vertical="center" indent="1"/>
    </xf>
    <xf numFmtId="8" fontId="0" fillId="0" borderId="0" xfId="0" applyNumberFormat="1"/>
    <xf numFmtId="0" fontId="2" fillId="13" borderId="0" xfId="0" applyFont="1" applyFill="1" applyAlignment="1">
      <alignment horizontal="center"/>
    </xf>
    <xf numFmtId="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3" fillId="0" borderId="0" xfId="0" applyFont="1"/>
    <xf numFmtId="9" fontId="0" fillId="0" borderId="0" xfId="4" applyFont="1" applyAlignment="1">
      <alignment horizontal="center"/>
    </xf>
    <xf numFmtId="166" fontId="0" fillId="0" borderId="0" xfId="0" applyNumberFormat="1" applyAlignment="1">
      <alignment vertical="center" wrapText="1"/>
    </xf>
    <xf numFmtId="166" fontId="0" fillId="0" borderId="0" xfId="2" applyNumberFormat="1" applyFont="1" applyAlignment="1">
      <alignment vertical="center"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9" fillId="18" borderId="0" xfId="0" applyFont="1" applyFill="1"/>
    <xf numFmtId="44" fontId="9" fillId="18" borderId="0" xfId="0" applyNumberFormat="1" applyFont="1" applyFill="1"/>
    <xf numFmtId="2" fontId="9" fillId="18" borderId="0" xfId="0" applyNumberFormat="1" applyFont="1" applyFill="1"/>
    <xf numFmtId="0" fontId="0" fillId="15" borderId="0" xfId="0" applyFill="1"/>
    <xf numFmtId="0" fontId="7" fillId="19" borderId="3" xfId="0" applyFont="1" applyFill="1" applyBorder="1" applyAlignment="1">
      <alignment horizontal="left" vertical="top"/>
    </xf>
    <xf numFmtId="44" fontId="7" fillId="19" borderId="3" xfId="2" applyFont="1" applyFill="1" applyBorder="1" applyAlignment="1">
      <alignment horizontal="left" vertical="top"/>
    </xf>
    <xf numFmtId="44" fontId="7" fillId="19" borderId="3" xfId="0" applyNumberFormat="1" applyFont="1" applyFill="1" applyBorder="1"/>
    <xf numFmtId="0" fontId="2" fillId="19" borderId="27" xfId="0" applyFont="1" applyFill="1" applyBorder="1" applyAlignment="1">
      <alignment horizontal="center"/>
    </xf>
    <xf numFmtId="0" fontId="7" fillId="20" borderId="3" xfId="0" applyFont="1" applyFill="1" applyBorder="1" applyAlignment="1">
      <alignment horizontal="left" vertical="top"/>
    </xf>
    <xf numFmtId="44" fontId="7" fillId="20" borderId="3" xfId="2" applyFont="1" applyFill="1" applyBorder="1" applyAlignment="1">
      <alignment horizontal="left" vertical="top"/>
    </xf>
    <xf numFmtId="44" fontId="7" fillId="20" borderId="3" xfId="0" applyNumberFormat="1" applyFont="1" applyFill="1" applyBorder="1"/>
    <xf numFmtId="0" fontId="1" fillId="21" borderId="22" xfId="0" applyFont="1" applyFill="1" applyBorder="1"/>
    <xf numFmtId="0" fontId="7" fillId="5" borderId="3" xfId="0" applyFont="1" applyFill="1" applyBorder="1" applyAlignment="1">
      <alignment horizontal="left" vertical="top"/>
    </xf>
    <xf numFmtId="44" fontId="7" fillId="5" borderId="3" xfId="2" applyFont="1" applyFill="1" applyBorder="1" applyAlignment="1">
      <alignment horizontal="left" vertical="top"/>
    </xf>
    <xf numFmtId="44" fontId="7" fillId="5" borderId="3" xfId="0" applyNumberFormat="1" applyFont="1" applyFill="1" applyBorder="1"/>
    <xf numFmtId="16" fontId="7" fillId="19" borderId="3" xfId="0" applyNumberFormat="1" applyFont="1" applyFill="1" applyBorder="1" applyAlignment="1">
      <alignment horizontal="left" vertical="top"/>
    </xf>
    <xf numFmtId="9" fontId="0" fillId="0" borderId="0" xfId="0" applyNumberFormat="1"/>
    <xf numFmtId="44" fontId="0" fillId="0" borderId="0" xfId="0" applyNumberFormat="1"/>
    <xf numFmtId="0" fontId="15" fillId="9" borderId="22" xfId="0" applyFont="1" applyFill="1" applyBorder="1"/>
    <xf numFmtId="0" fontId="14" fillId="0" borderId="22" xfId="0" applyFont="1" applyBorder="1" applyAlignment="1">
      <alignment horizontal="center" vertical="top"/>
    </xf>
    <xf numFmtId="44" fontId="14" fillId="0" borderId="22" xfId="2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5" fillId="10" borderId="22" xfId="0" applyFont="1" applyFill="1" applyBorder="1"/>
    <xf numFmtId="0" fontId="14" fillId="0" borderId="0" xfId="0" applyFont="1"/>
    <xf numFmtId="0" fontId="15" fillId="11" borderId="22" xfId="0" applyFont="1" applyFill="1" applyBorder="1"/>
    <xf numFmtId="0" fontId="15" fillId="12" borderId="22" xfId="0" applyFont="1" applyFill="1" applyBorder="1"/>
    <xf numFmtId="0" fontId="15" fillId="21" borderId="22" xfId="0" applyFont="1" applyFill="1" applyBorder="1"/>
    <xf numFmtId="0" fontId="12" fillId="17" borderId="0" xfId="0" applyFont="1" applyFill="1" applyAlignment="1">
      <alignment horizontal="center"/>
    </xf>
    <xf numFmtId="44" fontId="0" fillId="0" borderId="24" xfId="0" applyNumberFormat="1" applyBorder="1" applyAlignment="1">
      <alignment horizontal="right" vertical="center"/>
    </xf>
    <xf numFmtId="44" fontId="0" fillId="0" borderId="23" xfId="0" applyNumberFormat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44" fontId="2" fillId="0" borderId="24" xfId="0" applyNumberFormat="1" applyFont="1" applyBorder="1" applyAlignment="1">
      <alignment horizontal="center" vertical="center"/>
    </xf>
    <xf numFmtId="44" fontId="2" fillId="0" borderId="23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1" fillId="8" borderId="26" xfId="0" applyFont="1" applyFill="1" applyBorder="1" applyAlignment="1">
      <alignment horizontal="left"/>
    </xf>
    <xf numFmtId="44" fontId="2" fillId="0" borderId="24" xfId="0" applyNumberFormat="1" applyFont="1" applyBorder="1" applyAlignment="1">
      <alignment horizontal="center"/>
    </xf>
    <xf numFmtId="44" fontId="2" fillId="0" borderId="23" xfId="0" applyNumberFormat="1" applyFont="1" applyBorder="1" applyAlignment="1">
      <alignment horizontal="center"/>
    </xf>
    <xf numFmtId="44" fontId="0" fillId="0" borderId="24" xfId="0" applyNumberFormat="1" applyBorder="1" applyAlignment="1">
      <alignment horizontal="center" vertical="center"/>
    </xf>
    <xf numFmtId="44" fontId="0" fillId="0" borderId="23" xfId="0" applyNumberFormat="1" applyBorder="1" applyAlignment="1">
      <alignment horizontal="center" vertical="center"/>
    </xf>
    <xf numFmtId="0" fontId="1" fillId="8" borderId="25" xfId="0" applyFont="1" applyFill="1" applyBorder="1" applyAlignment="1">
      <alignment horizontal="right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right" vertical="center"/>
    </xf>
    <xf numFmtId="2" fontId="0" fillId="0" borderId="23" xfId="0" applyNumberFormat="1" applyBorder="1" applyAlignment="1">
      <alignment horizontal="right" vertical="center"/>
    </xf>
    <xf numFmtId="44" fontId="0" fillId="0" borderId="12" xfId="0" applyNumberForma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44" fontId="2" fillId="0" borderId="12" xfId="0" applyNumberFormat="1" applyFont="1" applyBorder="1" applyAlignment="1">
      <alignment horizontal="center" vertical="center"/>
    </xf>
    <xf numFmtId="6" fontId="0" fillId="0" borderId="24" xfId="0" applyNumberFormat="1" applyBorder="1" applyAlignment="1">
      <alignment horizontal="right" vertical="center"/>
    </xf>
    <xf numFmtId="1" fontId="0" fillId="0" borderId="24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44" fontId="2" fillId="0" borderId="12" xfId="0" applyNumberFormat="1" applyFont="1" applyBorder="1" applyAlignment="1">
      <alignment horizontal="center"/>
    </xf>
    <xf numFmtId="44" fontId="0" fillId="0" borderId="12" xfId="0" applyNumberFormat="1" applyBorder="1" applyAlignment="1">
      <alignment horizontal="center" vertical="center"/>
    </xf>
    <xf numFmtId="0" fontId="11" fillId="16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164" fontId="0" fillId="0" borderId="24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5" borderId="15" xfId="1" applyFill="1" applyBorder="1" applyAlignment="1">
      <alignment horizontal="right"/>
    </xf>
    <xf numFmtId="0" fontId="2" fillId="5" borderId="1" xfId="1" applyFill="1" applyAlignment="1">
      <alignment horizontal="right"/>
    </xf>
    <xf numFmtId="0" fontId="2" fillId="5" borderId="14" xfId="1" applyFill="1" applyBorder="1" applyAlignment="1">
      <alignment horizontal="righ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5" fillId="8" borderId="21" xfId="0" applyNumberFormat="1" applyFont="1" applyFill="1" applyBorder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6" fillId="8" borderId="20" xfId="0" applyFont="1" applyFill="1" applyBorder="1" applyAlignment="1">
      <alignment horizontal="right" vertical="center"/>
    </xf>
    <xf numFmtId="0" fontId="6" fillId="8" borderId="0" xfId="0" applyFont="1" applyFill="1" applyAlignment="1">
      <alignment horizontal="right" vertical="center"/>
    </xf>
    <xf numFmtId="44" fontId="5" fillId="8" borderId="21" xfId="2" applyFont="1" applyFill="1" applyBorder="1" applyAlignment="1">
      <alignment horizontal="right" vertical="center"/>
    </xf>
    <xf numFmtId="44" fontId="5" fillId="8" borderId="0" xfId="2" applyFont="1" applyFill="1" applyAlignment="1">
      <alignment horizontal="right" vertical="center"/>
    </xf>
    <xf numFmtId="2" fontId="5" fillId="8" borderId="21" xfId="0" applyNumberFormat="1" applyFont="1" applyFill="1" applyBorder="1" applyAlignment="1">
      <alignment horizontal="right" vertical="center"/>
    </xf>
    <xf numFmtId="2" fontId="5" fillId="8" borderId="0" xfId="0" applyNumberFormat="1" applyFont="1" applyFill="1" applyAlignment="1">
      <alignment horizontal="right" vertical="center"/>
    </xf>
  </cellXfs>
  <cellStyles count="5">
    <cellStyle name="Currency" xfId="2" builtinId="4"/>
    <cellStyle name="Hyperlink" xfId="3" builtinId="8"/>
    <cellStyle name="Normal" xfId="0" builtinId="0"/>
    <cellStyle name="Percent" xfId="4" builtinId="5"/>
    <cellStyle name="Total" xfId="1" builtinId="25"/>
  </cellStyles>
  <dxfs count="15">
    <dxf>
      <numFmt numFmtId="166" formatCode="&quot;$&quot;#,##0.00"/>
      <alignment horizontal="general" vertical="center" textRotation="0" wrapText="1" indent="0" justifyLastLine="0" shrinkToFit="0" readingOrder="0"/>
    </dxf>
    <dxf>
      <numFmt numFmtId="166" formatCode="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&quot;$&quot;#,##0.0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90922</xdr:colOff>
      <xdr:row>0</xdr:row>
      <xdr:rowOff>155865</xdr:rowOff>
    </xdr:from>
    <xdr:to>
      <xdr:col>24</xdr:col>
      <xdr:colOff>112569</xdr:colOff>
      <xdr:row>18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78D3EE-B0F6-B934-E2B2-734FAB060AB5}"/>
            </a:ext>
          </a:extLst>
        </xdr:cNvPr>
        <xdr:cNvSpPr/>
      </xdr:nvSpPr>
      <xdr:spPr>
        <a:xfrm>
          <a:off x="18534786" y="155865"/>
          <a:ext cx="5217101" cy="3229840"/>
        </a:xfrm>
        <a:prstGeom prst="rect">
          <a:avLst/>
        </a:prstGeom>
        <a:solidFill>
          <a:schemeClr val="bg1">
            <a:lumMod val="65000"/>
            <a:alpha val="25098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Scenerio: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Expansion of building connectivity network to 5 new IDF locations</a:t>
          </a:r>
        </a:p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Mix of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distances (all distances are over 50ft, anything under 50ft doesnt make sense)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Designed to use the maximum amount of FMP equipment with minimal output power to simulate a worst case scenerio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un optimized design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Location: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Central US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MDF: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 Available 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Distance from MDF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Closest AC Power</a:t>
          </a:r>
          <a:r>
            <a:rPr lang="en-US" sz="1400">
              <a:solidFill>
                <a:sysClr val="windowText" lastClr="000000"/>
              </a:solidFill>
            </a:rPr>
            <a:t> /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Capacity Needed</a:t>
          </a:r>
        </a:p>
        <a:p>
          <a:pPr algn="l"/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IDF 1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300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75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IDF 2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450</a:t>
          </a:r>
          <a:r>
            <a:rPr lang="en-US" sz="1400">
              <a:solidFill>
                <a:sysClr val="windowText" lastClr="000000"/>
              </a:solidFill>
            </a:rPr>
            <a:t> /</a:t>
          </a:r>
          <a:r>
            <a:rPr lang="en-US" sz="1400" baseline="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200</a:t>
          </a:r>
          <a:r>
            <a:rPr lang="en-US" sz="1400">
              <a:solidFill>
                <a:sysClr val="windowText" lastClr="000000"/>
              </a:solidFill>
            </a:rPr>
            <a:t> /</a:t>
          </a:r>
          <a:r>
            <a:rPr lang="en-US" sz="1400" baseline="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IDF 3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250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95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IDF 4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900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325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IDF 5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/</a:t>
          </a:r>
          <a:r>
            <a:rPr lang="en-US" sz="1400" baseline="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600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218148</xdr:colOff>
      <xdr:row>1</xdr:row>
      <xdr:rowOff>24555</xdr:rowOff>
    </xdr:from>
    <xdr:to>
      <xdr:col>24</xdr:col>
      <xdr:colOff>235033</xdr:colOff>
      <xdr:row>20</xdr:row>
      <xdr:rowOff>54428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4E8131-02D0-4743-9B3A-9364FD43B0C0}"/>
            </a:ext>
          </a:extLst>
        </xdr:cNvPr>
        <xdr:cNvSpPr/>
      </xdr:nvSpPr>
      <xdr:spPr>
        <a:xfrm>
          <a:off x="18914362" y="296698"/>
          <a:ext cx="5242028" cy="3431659"/>
        </a:xfrm>
        <a:prstGeom prst="rect">
          <a:avLst/>
        </a:prstGeom>
        <a:solidFill>
          <a:schemeClr val="bg1">
            <a:lumMod val="65000"/>
            <a:alpha val="25098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Scenerio: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Adding security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devices to the network 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Mix of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distances -  significant that would be cost prohibitive 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Designed for maximum reach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all outdoor applications originating from a single building 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Location: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Central US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MDF: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 Available -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incluides all cable and equipment to the building entry point approx 100ft to building egress.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Distance from MDF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Capacity Needed</a:t>
          </a:r>
        </a:p>
        <a:p>
          <a:pPr algn="l"/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Annex Building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IDF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1950 </a:t>
          </a:r>
          <a:r>
            <a:rPr lang="en-US" sz="1400">
              <a:solidFill>
                <a:sysClr val="windowText" lastClr="000000"/>
              </a:solidFill>
            </a:rPr>
            <a:t>/</a:t>
          </a:r>
          <a:r>
            <a:rPr lang="en-US" sz="1400" baseline="0">
              <a:solidFill>
                <a:sysClr val="windowText" lastClr="000000"/>
              </a:solidFill>
            </a:rPr>
            <a:t> 3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Security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Camera Switch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-Parking Garage A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750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Jogging Path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Emergency Phone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2800/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250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North Parking Lost (w/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CL2 Distribution)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4500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1400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218148</xdr:colOff>
      <xdr:row>1</xdr:row>
      <xdr:rowOff>24555</xdr:rowOff>
    </xdr:from>
    <xdr:to>
      <xdr:col>24</xdr:col>
      <xdr:colOff>235033</xdr:colOff>
      <xdr:row>20</xdr:row>
      <xdr:rowOff>54428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938F76-9B23-49F4-9388-789F4DB7D6FF}"/>
            </a:ext>
          </a:extLst>
        </xdr:cNvPr>
        <xdr:cNvSpPr/>
      </xdr:nvSpPr>
      <xdr:spPr>
        <a:xfrm>
          <a:off x="18915723" y="296017"/>
          <a:ext cx="5593772" cy="3496973"/>
        </a:xfrm>
        <a:prstGeom prst="rect">
          <a:avLst/>
        </a:prstGeom>
        <a:solidFill>
          <a:schemeClr val="bg1">
            <a:lumMod val="65000"/>
            <a:alpha val="25098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Scenerio: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Adding security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devices to the network against conventional class2 power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Mix of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distances -  significant that would be cost prohibitive along with some short mixed environment applications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Designed within the maximum power and distance limitations of powered fiber</a:t>
          </a:r>
        </a:p>
        <a:p>
          <a:pPr algn="l"/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all outdoor applications originating from a single building 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Location: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Central US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MDF: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 Available -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incluides all cable and equipment to the building entry point </a:t>
          </a:r>
          <a:endParaRPr lang="en-US" sz="14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Distance from MDF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Capacity Needed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Annex Building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IDF 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95 </a:t>
          </a:r>
          <a:r>
            <a:rPr lang="en-US" sz="1400">
              <a:solidFill>
                <a:sysClr val="windowText" lastClr="000000"/>
              </a:solidFill>
            </a:rPr>
            <a:t>/</a:t>
          </a:r>
          <a:r>
            <a:rPr lang="en-US" sz="1400" baseline="0">
              <a:solidFill>
                <a:sysClr val="windowText" lastClr="000000"/>
              </a:solidFill>
            </a:rPr>
            <a:t> 500 - path existing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Security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Camera Switch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-Parking Garage A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750 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400</a:t>
          </a:r>
          <a:r>
            <a:rPr lang="en-US" sz="1400">
              <a:solidFill>
                <a:sysClr val="windowText" lastClr="000000"/>
              </a:solidFill>
            </a:rPr>
            <a:t> - free air install</a:t>
          </a: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Jogging Path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Emergency Phone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1400/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250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North Parking Lost (Direct to devices</a:t>
          </a:r>
          <a:r>
            <a:rPr lang="en-US" sz="1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200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7A521-BDF1-4419-8575-C4CA07D024E6}" name="FMPSValueAnalysis" displayName="FMPSValueAnalysis" ref="B4:R8" totalsRowShown="0" headerRowDxfId="14" dataDxfId="13">
  <autoFilter ref="B4:R8" xr:uid="{E237A521-BDF1-4419-8575-C4CA07D024E6}"/>
  <tableColumns count="17">
    <tableColumn id="1" xr3:uid="{2435A263-4808-4EDB-BE4E-072553B5C76C}" name="Power Installation "/>
    <tableColumn id="2" xr3:uid="{8A17C3C4-9960-4770-97BE-1A57C5CDA47B}" name="Total Hours" dataDxfId="12"/>
    <tableColumn id="3" xr3:uid="{961C5FB1-F0BF-4416-80EA-33C9AD8B29F9}" name="Total Days" dataDxfId="11">
      <calculatedColumnFormula>C5/8</calculatedColumnFormula>
    </tableColumn>
    <tableColumn id="4" xr3:uid="{04C5D108-16F0-417F-A10B-C530F19157C9}" name="Total Cost " dataDxfId="10" dataCellStyle="Currency"/>
    <tableColumn id="5" xr3:uid="{ECF6CEA8-0A9F-4350-918A-4A8C122680E1}" name="Total Materials " dataDxfId="9" dataCellStyle="Currency"/>
    <tableColumn id="6" xr3:uid="{76F248BC-6644-42E2-8911-0A11A00AC89E}" name="Total Labor" dataDxfId="8" dataCellStyle="Currency"/>
    <tableColumn id="7" xr3:uid="{B56A48DC-E7D2-43C0-B6C8-C7F64C0DA699}" name="Est. Crew Size " dataDxfId="7"/>
    <tableColumn id="8" xr3:uid="{9D3581C6-2AD8-4CC2-AE2E-4280184D3840}" name="Estimated Construction Time (Days)" dataDxfId="6">
      <calculatedColumnFormula>D5/H5</calculatedColumnFormula>
    </tableColumn>
    <tableColumn id="9" xr3:uid="{A760574F-0B23-49AA-985F-70A281608FEC}" name="Average IDF Cost" dataDxfId="5" dataCellStyle="Currency"/>
    <tableColumn id="10" xr3:uid="{6B64877B-5957-465A-99E5-247F5C805099}" name="Average IDF Construction Time (Days)"/>
    <tableColumn id="13" xr3:uid="{5901BCD9-61A2-4AA4-888F-B0A1B3FC025B}" name="Largest AWG" dataDxfId="4"/>
    <tableColumn id="14" xr3:uid="{818DDC30-D0A6-41EA-8D3B-8221DA7381DF}" name="Smallest AWG" dataDxfId="3"/>
    <tableColumn id="15" xr3:uid="{82DE7920-4665-42D5-BBA2-6D131D1C5FE8}" name="Average AWG" dataDxfId="2"/>
    <tableColumn id="16" xr3:uid="{7BA4D7A3-953F-4C58-A299-8AE9CD347850}" name="Average Trenching Cost "/>
    <tableColumn id="17" xr3:uid="{67F44CFA-E1E7-4B91-B110-FD5FD1B71CA1}" name="Average Trenching Time (Hours)"/>
    <tableColumn id="19" xr3:uid="{66E23BDD-97E8-4B6D-9E10-4228C3EBECBD}" name="Longest Single IDF Cost (1000ft / 4500ft)" dataDxfId="1"/>
    <tableColumn id="18" xr3:uid="{1F9E900E-A261-4491-8F29-6594E1BAC6AE}" name="Shortest Single IDF Cost (75ft / 700f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uraline.com/specialty/figure-8-465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hewaterworkswarehouse.com/product/2x3000-orange-conduit/" TargetMode="External"/><Relationship Id="rId7" Type="http://schemas.openxmlformats.org/officeDocument/2006/relationships/hyperlink" Target="https://www.bls.gov/oes/2023/may/oes472111.htm?utm_source=chatgpt.com" TargetMode="External"/><Relationship Id="rId2" Type="http://schemas.openxmlformats.org/officeDocument/2006/relationships/hyperlink" Target="https://thewaterworkswarehouse.com/product/1-1-4-sdr11-orange-conduit-hdpe-pipe-8000-on-96-reel/" TargetMode="External"/><Relationship Id="rId1" Type="http://schemas.openxmlformats.org/officeDocument/2006/relationships/hyperlink" Target="https://championfiberglass.com/neca-labor-rates/?utm_source=chatgpt.com" TargetMode="External"/><Relationship Id="rId6" Type="http://schemas.openxmlformats.org/officeDocument/2006/relationships/hyperlink" Target="https://championfiberglass.com/neca-labor-rates/?utm_source=chatgpt.com" TargetMode="External"/><Relationship Id="rId5" Type="http://schemas.openxmlformats.org/officeDocument/2006/relationships/hyperlink" Target="https://georgiaunderground.net/products/sw12green-copperhead-12-awg-30.html?srsltid=AfmBOorUOObvkKaccOvEp4OqfDROiA3tU-JA2BCJi_aW7Cuvfa-GNE2P&amp;utm_source=chatgpt.com" TargetMode="External"/><Relationship Id="rId4" Type="http://schemas.openxmlformats.org/officeDocument/2006/relationships/hyperlink" Target="https://www.homedepot.com/p/IDEAL-1-2-in-x-3000-ft-Reel-Pro-Pull-Measuring-Pull-Tape-Tensile-Strength-1250-lbs-31-1250-30/319943622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77"/>
  <sheetViews>
    <sheetView tabSelected="1" topLeftCell="A4" zoomScale="85" zoomScaleNormal="85" workbookViewId="0">
      <selection activeCell="D15" sqref="D15"/>
    </sheetView>
  </sheetViews>
  <sheetFormatPr defaultRowHeight="14.25" x14ac:dyDescent="0.45"/>
  <cols>
    <col min="2" max="2" width="26.265625" customWidth="1"/>
    <col min="3" max="3" width="15.86328125" customWidth="1"/>
    <col min="4" max="4" width="14" customWidth="1"/>
    <col min="5" max="5" width="19" customWidth="1"/>
    <col min="6" max="6" width="16.73046875" customWidth="1"/>
    <col min="7" max="8" width="19.86328125" customWidth="1"/>
    <col min="9" max="9" width="34.3984375" customWidth="1"/>
    <col min="10" max="10" width="18.73046875" customWidth="1"/>
    <col min="11" max="11" width="36.73046875" customWidth="1"/>
    <col min="12" max="12" width="14.86328125" customWidth="1"/>
    <col min="13" max="14" width="15.3984375" customWidth="1"/>
    <col min="15" max="15" width="24.59765625" customWidth="1"/>
    <col min="16" max="17" width="30.86328125" customWidth="1"/>
    <col min="18" max="18" width="37" customWidth="1"/>
  </cols>
  <sheetData>
    <row r="2" spans="2:18" x14ac:dyDescent="0.45">
      <c r="B2" s="9" t="s">
        <v>0</v>
      </c>
    </row>
    <row r="4" spans="2:18" ht="28.5" x14ac:dyDescent="0.45">
      <c r="B4" t="s">
        <v>1</v>
      </c>
      <c r="C4" s="74" t="s">
        <v>2</v>
      </c>
      <c r="D4" s="74" t="s">
        <v>3</v>
      </c>
      <c r="E4" s="74" t="s">
        <v>4</v>
      </c>
      <c r="F4" s="74" t="s">
        <v>5</v>
      </c>
      <c r="G4" s="74" t="s">
        <v>6</v>
      </c>
      <c r="H4" s="74" t="s">
        <v>7</v>
      </c>
      <c r="I4" s="74" t="s">
        <v>8</v>
      </c>
      <c r="J4" s="74" t="s">
        <v>9</v>
      </c>
      <c r="K4" s="74" t="s">
        <v>10</v>
      </c>
      <c r="L4" s="74" t="s">
        <v>11</v>
      </c>
      <c r="M4" s="74" t="s">
        <v>12</v>
      </c>
      <c r="N4" s="74" t="s">
        <v>13</v>
      </c>
      <c r="O4" s="74" t="s">
        <v>14</v>
      </c>
      <c r="P4" s="74" t="s">
        <v>15</v>
      </c>
      <c r="Q4" s="74" t="s">
        <v>16</v>
      </c>
      <c r="R4" s="74" t="s">
        <v>17</v>
      </c>
    </row>
    <row r="5" spans="2:18" x14ac:dyDescent="0.45">
      <c r="B5" t="s">
        <v>18</v>
      </c>
      <c r="C5" s="82">
        <v>111.66</v>
      </c>
      <c r="D5" s="93">
        <f>C5/8</f>
        <v>13.9575</v>
      </c>
      <c r="E5" s="97">
        <v>49905.66</v>
      </c>
      <c r="F5" s="97">
        <v>34349.5</v>
      </c>
      <c r="G5" s="97">
        <v>15556.16</v>
      </c>
      <c r="H5" s="82">
        <v>2</v>
      </c>
      <c r="I5" s="93">
        <f>D5/H5</f>
        <v>6.9787499999999998</v>
      </c>
      <c r="J5" s="97">
        <v>5999.63</v>
      </c>
      <c r="K5" s="93">
        <f>(14.03/8)/H5</f>
        <v>0.87687499999999996</v>
      </c>
      <c r="L5" s="82">
        <v>16</v>
      </c>
      <c r="M5" s="82">
        <v>16</v>
      </c>
      <c r="N5" s="82">
        <v>16</v>
      </c>
      <c r="Q5" s="96">
        <v>28099.09</v>
      </c>
      <c r="R5" s="96">
        <v>11616.98</v>
      </c>
    </row>
    <row r="6" spans="2:18" x14ac:dyDescent="0.45">
      <c r="B6" s="103" t="s">
        <v>19</v>
      </c>
      <c r="C6" s="82">
        <v>751.58</v>
      </c>
      <c r="D6" s="93">
        <f>C6/8</f>
        <v>93.947500000000005</v>
      </c>
      <c r="E6" s="97">
        <v>68305.16</v>
      </c>
      <c r="F6" s="97">
        <v>24470.25</v>
      </c>
      <c r="G6" s="97">
        <v>43834.91</v>
      </c>
      <c r="H6" s="82">
        <v>5</v>
      </c>
      <c r="I6" s="93">
        <f>D6/H6</f>
        <v>18.7895</v>
      </c>
      <c r="J6" s="97">
        <v>11401.43</v>
      </c>
      <c r="K6" s="93">
        <f>(123.22/8)/H6</f>
        <v>3.0804999999999998</v>
      </c>
      <c r="L6" s="82">
        <v>4</v>
      </c>
      <c r="M6" s="82">
        <v>14</v>
      </c>
      <c r="N6" s="82">
        <v>8</v>
      </c>
      <c r="Q6" s="97">
        <v>34882.86</v>
      </c>
      <c r="R6" s="97">
        <v>13212.25</v>
      </c>
    </row>
    <row r="7" spans="2:18" x14ac:dyDescent="0.45">
      <c r="B7" t="s">
        <v>20</v>
      </c>
      <c r="C7" s="82">
        <v>524.16999999999996</v>
      </c>
      <c r="D7" s="93">
        <f t="shared" ref="D7:D8" si="0">C7/8</f>
        <v>65.521249999999995</v>
      </c>
      <c r="E7" s="97">
        <v>205505.08</v>
      </c>
      <c r="F7" s="97">
        <v>171950</v>
      </c>
      <c r="G7" s="97">
        <v>33555.08</v>
      </c>
      <c r="H7" s="82">
        <v>6</v>
      </c>
      <c r="I7" s="93">
        <f t="shared" ref="I7:I8" si="1">D7/H7</f>
        <v>10.920208333333333</v>
      </c>
      <c r="J7" s="97">
        <v>17669</v>
      </c>
      <c r="K7" s="92">
        <f>(35/8)/I7</f>
        <v>0.40063338229963563</v>
      </c>
      <c r="L7" s="82">
        <v>16</v>
      </c>
      <c r="M7" s="82">
        <v>6</v>
      </c>
      <c r="N7" s="82">
        <v>11</v>
      </c>
      <c r="O7" s="82">
        <v>6981</v>
      </c>
      <c r="P7" s="82">
        <v>8.3000000000000007</v>
      </c>
      <c r="Q7" s="96">
        <v>44354.16</v>
      </c>
      <c r="R7" s="96">
        <v>22355.03</v>
      </c>
    </row>
    <row r="8" spans="2:18" x14ac:dyDescent="0.45">
      <c r="B8" s="103" t="s">
        <v>21</v>
      </c>
      <c r="C8" s="91">
        <v>1725.39</v>
      </c>
      <c r="D8" s="93">
        <f t="shared" si="0"/>
        <v>215.67375000000001</v>
      </c>
      <c r="E8" s="97">
        <v>368074.71</v>
      </c>
      <c r="F8" s="97">
        <v>256791.32</v>
      </c>
      <c r="G8" s="97">
        <v>111283.39</v>
      </c>
      <c r="H8" s="82">
        <v>11</v>
      </c>
      <c r="I8" s="93">
        <f t="shared" si="1"/>
        <v>19.606704545454548</v>
      </c>
      <c r="J8" s="97">
        <v>39821</v>
      </c>
      <c r="K8" s="92">
        <f>(142/8)/H8</f>
        <v>1.6136363636363635</v>
      </c>
      <c r="L8" s="82">
        <v>16</v>
      </c>
      <c r="M8" s="82">
        <v>6</v>
      </c>
      <c r="N8" s="82">
        <v>11</v>
      </c>
      <c r="O8" s="82">
        <v>7227.5</v>
      </c>
      <c r="P8" s="82">
        <v>45</v>
      </c>
      <c r="Q8" s="96">
        <v>110468.59</v>
      </c>
      <c r="R8" s="96">
        <v>31690.71</v>
      </c>
    </row>
    <row r="14" spans="2:18" x14ac:dyDescent="0.45">
      <c r="B14" s="9" t="s">
        <v>22</v>
      </c>
    </row>
    <row r="15" spans="2:18" x14ac:dyDescent="0.45">
      <c r="B15" t="s">
        <v>23</v>
      </c>
      <c r="C15" s="69">
        <v>3</v>
      </c>
      <c r="D15" s="94" t="s">
        <v>24</v>
      </c>
    </row>
    <row r="16" spans="2:18" x14ac:dyDescent="0.45">
      <c r="B16" t="s">
        <v>25</v>
      </c>
      <c r="C16" s="69" t="s">
        <v>26</v>
      </c>
      <c r="D16" s="94" t="s">
        <v>27</v>
      </c>
    </row>
    <row r="17" spans="2:10" x14ac:dyDescent="0.45">
      <c r="B17" t="s">
        <v>28</v>
      </c>
      <c r="C17" s="69" t="s">
        <v>29</v>
      </c>
      <c r="D17" s="94" t="s">
        <v>30</v>
      </c>
    </row>
    <row r="18" spans="2:10" x14ac:dyDescent="0.45">
      <c r="B18" t="s">
        <v>31</v>
      </c>
      <c r="C18" s="69" t="s">
        <v>32</v>
      </c>
      <c r="D18" s="94" t="s">
        <v>33</v>
      </c>
    </row>
    <row r="19" spans="2:10" x14ac:dyDescent="0.45">
      <c r="B19" t="s">
        <v>34</v>
      </c>
      <c r="C19" s="69">
        <v>16</v>
      </c>
      <c r="D19" s="94" t="s">
        <v>35</v>
      </c>
    </row>
    <row r="20" spans="2:10" x14ac:dyDescent="0.45">
      <c r="B20" t="s">
        <v>36</v>
      </c>
      <c r="C20" s="69">
        <v>4</v>
      </c>
      <c r="D20" s="94" t="s">
        <v>37</v>
      </c>
    </row>
    <row r="21" spans="2:10" x14ac:dyDescent="0.45">
      <c r="B21" t="s">
        <v>38</v>
      </c>
      <c r="C21" s="95">
        <f>J5/J6</f>
        <v>0.52621732537058952</v>
      </c>
      <c r="D21" s="94" t="s">
        <v>39</v>
      </c>
    </row>
    <row r="22" spans="2:10" x14ac:dyDescent="0.45">
      <c r="B22" t="s">
        <v>40</v>
      </c>
      <c r="C22" s="95">
        <f>I5/I6</f>
        <v>0.37141754703424784</v>
      </c>
      <c r="D22" s="94" t="s">
        <v>41</v>
      </c>
    </row>
    <row r="25" spans="2:10" x14ac:dyDescent="0.45">
      <c r="B25" s="9" t="s">
        <v>42</v>
      </c>
    </row>
    <row r="26" spans="2:10" x14ac:dyDescent="0.45">
      <c r="B26" t="s">
        <v>43</v>
      </c>
      <c r="C26" s="99">
        <v>1</v>
      </c>
      <c r="D26" t="s">
        <v>44</v>
      </c>
    </row>
    <row r="27" spans="2:10" x14ac:dyDescent="0.45">
      <c r="B27" t="s">
        <v>45</v>
      </c>
      <c r="C27" s="99">
        <v>1</v>
      </c>
      <c r="D27" t="s">
        <v>46</v>
      </c>
      <c r="I27" s="84" t="s">
        <v>47</v>
      </c>
      <c r="J27" t="s">
        <v>48</v>
      </c>
    </row>
    <row r="28" spans="2:10" x14ac:dyDescent="0.45">
      <c r="B28" t="s">
        <v>49</v>
      </c>
      <c r="C28" s="69" t="s">
        <v>50</v>
      </c>
      <c r="D28" t="s">
        <v>51</v>
      </c>
    </row>
    <row r="29" spans="2:10" x14ac:dyDescent="0.45">
      <c r="B29" t="s">
        <v>52</v>
      </c>
      <c r="C29" s="98">
        <v>0.5</v>
      </c>
      <c r="D29" t="s">
        <v>53</v>
      </c>
    </row>
    <row r="30" spans="2:10" x14ac:dyDescent="0.45">
      <c r="C30" s="69"/>
    </row>
    <row r="33" spans="2:4" x14ac:dyDescent="0.45">
      <c r="B33" s="9" t="s">
        <v>54</v>
      </c>
    </row>
    <row r="34" spans="2:4" x14ac:dyDescent="0.45">
      <c r="B34" t="s">
        <v>55</v>
      </c>
      <c r="C34" s="69">
        <v>1</v>
      </c>
      <c r="D34" t="s">
        <v>56</v>
      </c>
    </row>
    <row r="35" spans="2:4" x14ac:dyDescent="0.45">
      <c r="B35" t="s">
        <v>57</v>
      </c>
      <c r="C35" s="69" t="s">
        <v>58</v>
      </c>
      <c r="D35" t="s">
        <v>59</v>
      </c>
    </row>
    <row r="38" spans="2:4" x14ac:dyDescent="0.45">
      <c r="B38" s="9" t="s">
        <v>60</v>
      </c>
    </row>
    <row r="39" spans="2:4" x14ac:dyDescent="0.45">
      <c r="B39" t="s">
        <v>61</v>
      </c>
      <c r="C39" s="69" t="s">
        <v>62</v>
      </c>
      <c r="D39" t="s">
        <v>63</v>
      </c>
    </row>
    <row r="40" spans="2:4" x14ac:dyDescent="0.45">
      <c r="B40" t="s">
        <v>64</v>
      </c>
      <c r="C40" s="69" t="s">
        <v>65</v>
      </c>
      <c r="D40" t="s">
        <v>66</v>
      </c>
    </row>
    <row r="41" spans="2:4" x14ac:dyDescent="0.45">
      <c r="B41" t="s">
        <v>67</v>
      </c>
      <c r="C41" s="69">
        <v>1</v>
      </c>
      <c r="D41" t="s">
        <v>68</v>
      </c>
    </row>
    <row r="44" spans="2:4" x14ac:dyDescent="0.45">
      <c r="B44" t="s">
        <v>69</v>
      </c>
    </row>
    <row r="46" spans="2:4" x14ac:dyDescent="0.45">
      <c r="B46" t="s">
        <v>70</v>
      </c>
      <c r="C46" t="s">
        <v>71</v>
      </c>
    </row>
    <row r="47" spans="2:4" x14ac:dyDescent="0.45">
      <c r="B47" t="s">
        <v>72</v>
      </c>
    </row>
    <row r="49" spans="2:3" x14ac:dyDescent="0.45">
      <c r="B49" s="9" t="s">
        <v>73</v>
      </c>
    </row>
    <row r="50" spans="2:3" x14ac:dyDescent="0.45">
      <c r="B50" t="s">
        <v>74</v>
      </c>
      <c r="C50" t="s">
        <v>75</v>
      </c>
    </row>
    <row r="51" spans="2:3" x14ac:dyDescent="0.45">
      <c r="B51" t="s">
        <v>76</v>
      </c>
    </row>
    <row r="52" spans="2:3" x14ac:dyDescent="0.45">
      <c r="B52" t="s">
        <v>77</v>
      </c>
    </row>
    <row r="54" spans="2:3" x14ac:dyDescent="0.45">
      <c r="B54" s="9" t="s">
        <v>78</v>
      </c>
    </row>
    <row r="55" spans="2:3" x14ac:dyDescent="0.45">
      <c r="B55" t="s">
        <v>79</v>
      </c>
      <c r="C55" t="s">
        <v>80</v>
      </c>
    </row>
    <row r="56" spans="2:3" x14ac:dyDescent="0.45">
      <c r="B56" t="s">
        <v>81</v>
      </c>
      <c r="C56" t="s">
        <v>80</v>
      </c>
    </row>
    <row r="57" spans="2:3" x14ac:dyDescent="0.45">
      <c r="B57" t="s">
        <v>82</v>
      </c>
      <c r="C57" t="s">
        <v>80</v>
      </c>
    </row>
    <row r="59" spans="2:3" x14ac:dyDescent="0.45">
      <c r="B59" s="9" t="s">
        <v>83</v>
      </c>
    </row>
    <row r="60" spans="2:3" x14ac:dyDescent="0.45">
      <c r="B60" t="s">
        <v>84</v>
      </c>
    </row>
    <row r="61" spans="2:3" x14ac:dyDescent="0.45">
      <c r="B61" t="s">
        <v>85</v>
      </c>
    </row>
    <row r="63" spans="2:3" x14ac:dyDescent="0.45">
      <c r="B63" s="9" t="s">
        <v>86</v>
      </c>
    </row>
    <row r="64" spans="2:3" x14ac:dyDescent="0.45">
      <c r="B64" t="s">
        <v>87</v>
      </c>
      <c r="C64" s="116">
        <v>0.5</v>
      </c>
    </row>
    <row r="65" spans="2:3" x14ac:dyDescent="0.45">
      <c r="B65" t="s">
        <v>88</v>
      </c>
      <c r="C65" s="116">
        <v>0.75</v>
      </c>
    </row>
    <row r="66" spans="2:3" x14ac:dyDescent="0.45">
      <c r="B66" t="s">
        <v>89</v>
      </c>
      <c r="C66" s="116">
        <v>0.25</v>
      </c>
    </row>
    <row r="67" spans="2:3" x14ac:dyDescent="0.45">
      <c r="B67" t="s">
        <v>90</v>
      </c>
      <c r="C67" s="116">
        <v>0.15</v>
      </c>
    </row>
    <row r="69" spans="2:3" x14ac:dyDescent="0.45">
      <c r="B69" s="9" t="s">
        <v>91</v>
      </c>
    </row>
    <row r="70" spans="2:3" x14ac:dyDescent="0.45">
      <c r="B70" t="s">
        <v>92</v>
      </c>
    </row>
    <row r="71" spans="2:3" x14ac:dyDescent="0.45">
      <c r="B71" t="s">
        <v>93</v>
      </c>
    </row>
    <row r="72" spans="2:3" x14ac:dyDescent="0.45">
      <c r="B72" t="s">
        <v>94</v>
      </c>
    </row>
    <row r="73" spans="2:3" x14ac:dyDescent="0.45">
      <c r="B73" t="s">
        <v>95</v>
      </c>
    </row>
    <row r="74" spans="2:3" x14ac:dyDescent="0.45">
      <c r="B74" t="s">
        <v>96</v>
      </c>
    </row>
    <row r="76" spans="2:3" x14ac:dyDescent="0.45">
      <c r="B76" t="s">
        <v>97</v>
      </c>
    </row>
    <row r="77" spans="2:3" x14ac:dyDescent="0.45">
      <c r="B77" t="s">
        <v>98</v>
      </c>
    </row>
  </sheetData>
  <hyperlinks>
    <hyperlink ref="I27" r:id="rId1" display="https://www.duraline.com/specialty/figure-8-465/" xr:uid="{B8773D63-8363-49D8-AF7D-45DF07C649C1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C22A-D5B7-45E5-A74F-5305B1628B77}">
  <sheetPr>
    <tabColor rgb="FF00B050"/>
  </sheetPr>
  <dimension ref="B1:Q201"/>
  <sheetViews>
    <sheetView zoomScale="70" zoomScaleNormal="70" workbookViewId="0">
      <selection activeCell="C3" sqref="C3:I12"/>
    </sheetView>
  </sheetViews>
  <sheetFormatPr defaultRowHeight="14.25" x14ac:dyDescent="0.45"/>
  <cols>
    <col min="2" max="2" width="6.59765625" customWidth="1"/>
    <col min="3" max="3" width="29.1328125" customWidth="1"/>
    <col min="4" max="4" width="19" customWidth="1"/>
    <col min="6" max="6" width="15.1328125" customWidth="1"/>
    <col min="7" max="7" width="18" customWidth="1"/>
    <col min="8" max="8" width="18.86328125" customWidth="1"/>
    <col min="9" max="9" width="16.3984375" customWidth="1"/>
    <col min="10" max="10" width="19.73046875" customWidth="1"/>
    <col min="11" max="11" width="18" customWidth="1"/>
    <col min="12" max="12" width="17.59765625" customWidth="1"/>
    <col min="13" max="13" width="19.1328125" customWidth="1"/>
    <col min="14" max="14" width="2.1328125" customWidth="1"/>
    <col min="15" max="15" width="19" customWidth="1"/>
    <col min="16" max="16" width="21.1328125" customWidth="1"/>
  </cols>
  <sheetData>
    <row r="1" spans="3:16" ht="23.25" x14ac:dyDescent="0.7">
      <c r="C1" s="127" t="s">
        <v>99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3" spans="3:16" x14ac:dyDescent="0.45">
      <c r="C3" t="s">
        <v>100</v>
      </c>
      <c r="G3" t="s">
        <v>101</v>
      </c>
    </row>
    <row r="4" spans="3:16" x14ac:dyDescent="0.45">
      <c r="C4" s="19" t="s">
        <v>102</v>
      </c>
      <c r="G4" s="19" t="s">
        <v>103</v>
      </c>
    </row>
    <row r="5" spans="3:16" x14ac:dyDescent="0.45">
      <c r="C5" s="20" t="s">
        <v>104</v>
      </c>
      <c r="D5" s="40">
        <v>207</v>
      </c>
      <c r="E5" t="s">
        <v>105</v>
      </c>
      <c r="G5" s="20" t="s">
        <v>106</v>
      </c>
      <c r="H5">
        <v>6</v>
      </c>
      <c r="I5" t="s">
        <v>107</v>
      </c>
    </row>
    <row r="6" spans="3:16" x14ac:dyDescent="0.45">
      <c r="C6" s="20" t="s">
        <v>108</v>
      </c>
      <c r="D6" s="40">
        <v>72</v>
      </c>
      <c r="E6" t="s">
        <v>105</v>
      </c>
      <c r="G6" s="20" t="s">
        <v>109</v>
      </c>
      <c r="H6">
        <v>15</v>
      </c>
      <c r="I6" t="s">
        <v>107</v>
      </c>
    </row>
    <row r="7" spans="3:16" x14ac:dyDescent="0.45">
      <c r="C7" s="20" t="s">
        <v>110</v>
      </c>
      <c r="D7" s="40">
        <v>45</v>
      </c>
      <c r="E7" t="s">
        <v>105</v>
      </c>
      <c r="G7" s="20" t="s">
        <v>111</v>
      </c>
      <c r="H7">
        <v>110</v>
      </c>
      <c r="I7" t="s">
        <v>107</v>
      </c>
    </row>
    <row r="8" spans="3:16" x14ac:dyDescent="0.45">
      <c r="C8" s="20" t="s">
        <v>112</v>
      </c>
      <c r="D8" s="40">
        <v>165</v>
      </c>
      <c r="E8" t="s">
        <v>105</v>
      </c>
      <c r="G8" s="20" t="s">
        <v>113</v>
      </c>
      <c r="H8" s="40">
        <v>31</v>
      </c>
      <c r="I8" t="s">
        <v>114</v>
      </c>
    </row>
    <row r="9" spans="3:16" x14ac:dyDescent="0.45">
      <c r="G9" s="20" t="s">
        <v>115</v>
      </c>
      <c r="H9" s="40">
        <v>13</v>
      </c>
      <c r="I9" t="s">
        <v>114</v>
      </c>
    </row>
    <row r="10" spans="3:16" x14ac:dyDescent="0.45">
      <c r="G10" s="20" t="s">
        <v>116</v>
      </c>
      <c r="H10" s="40">
        <v>225</v>
      </c>
      <c r="I10" t="s">
        <v>117</v>
      </c>
    </row>
    <row r="11" spans="3:16" x14ac:dyDescent="0.45">
      <c r="G11" s="20" t="s">
        <v>118</v>
      </c>
      <c r="H11">
        <v>1</v>
      </c>
      <c r="I11" t="s">
        <v>119</v>
      </c>
    </row>
    <row r="13" spans="3:16" ht="14.65" thickBot="1" x14ac:dyDescent="0.5"/>
    <row r="14" spans="3:16" x14ac:dyDescent="0.45">
      <c r="C14" s="136" t="s">
        <v>120</v>
      </c>
      <c r="D14" s="136"/>
      <c r="E14" s="136"/>
      <c r="F14" s="136"/>
      <c r="G14" s="137"/>
      <c r="H14" s="60" t="s">
        <v>121</v>
      </c>
      <c r="I14" s="60" t="s">
        <v>122</v>
      </c>
      <c r="J14" s="60" t="s">
        <v>123</v>
      </c>
      <c r="K14" s="48" t="s">
        <v>124</v>
      </c>
      <c r="L14" s="48" t="s">
        <v>125</v>
      </c>
      <c r="M14" s="48" t="s">
        <v>126</v>
      </c>
      <c r="N14" s="48"/>
      <c r="O14" s="60" t="s">
        <v>127</v>
      </c>
      <c r="P14" s="49" t="s">
        <v>128</v>
      </c>
    </row>
    <row r="15" spans="3:16" x14ac:dyDescent="0.45">
      <c r="C15" s="22" t="s">
        <v>129</v>
      </c>
      <c r="D15" s="21" t="s">
        <v>130</v>
      </c>
      <c r="E15" s="51"/>
      <c r="F15" s="51"/>
      <c r="G15" s="21"/>
      <c r="H15" s="128">
        <f>SUM(G16:G16)</f>
        <v>0</v>
      </c>
      <c r="I15" s="130">
        <v>2</v>
      </c>
      <c r="J15" s="128">
        <f>D7*I15</f>
        <v>90</v>
      </c>
      <c r="K15" s="128">
        <f>SUM(G17:G17)</f>
        <v>0</v>
      </c>
      <c r="L15" s="132">
        <v>2</v>
      </c>
      <c r="M15" s="128">
        <f>L15*D7</f>
        <v>90</v>
      </c>
      <c r="N15" s="57"/>
      <c r="O15" s="134">
        <f>SUM(H15+J15)</f>
        <v>90</v>
      </c>
      <c r="P15" s="134">
        <f>SUM(K15+M15)</f>
        <v>90</v>
      </c>
    </row>
    <row r="16" spans="3:16" ht="15.75" customHeight="1" x14ac:dyDescent="0.45">
      <c r="C16" s="61"/>
      <c r="D16" s="61"/>
      <c r="E16" s="61"/>
      <c r="F16" s="62"/>
      <c r="G16" s="63"/>
      <c r="H16" s="129"/>
      <c r="I16" s="131"/>
      <c r="J16" s="129"/>
      <c r="K16" s="129"/>
      <c r="L16" s="133"/>
      <c r="M16" s="129"/>
      <c r="N16" s="58"/>
      <c r="O16" s="135"/>
      <c r="P16" s="135"/>
    </row>
    <row r="17" spans="3:17" x14ac:dyDescent="0.45">
      <c r="C17" s="64"/>
      <c r="D17" s="64"/>
      <c r="E17" s="64"/>
      <c r="F17" s="65"/>
      <c r="G17" s="66"/>
      <c r="H17" s="129"/>
      <c r="I17" s="131"/>
      <c r="J17" s="129"/>
      <c r="K17" s="129"/>
      <c r="L17" s="133"/>
      <c r="M17" s="129"/>
      <c r="N17" s="58"/>
      <c r="O17" s="135"/>
      <c r="P17" s="135"/>
    </row>
    <row r="18" spans="3:17" x14ac:dyDescent="0.45">
      <c r="C18" s="22" t="s">
        <v>131</v>
      </c>
      <c r="D18" s="21" t="s">
        <v>132</v>
      </c>
      <c r="E18" s="51"/>
      <c r="F18" s="51"/>
      <c r="G18" s="21"/>
      <c r="H18" s="128">
        <f>SUM(G19:G19)</f>
        <v>0</v>
      </c>
      <c r="I18" s="130">
        <v>7</v>
      </c>
      <c r="J18" s="128">
        <f>D6*I18</f>
        <v>504</v>
      </c>
      <c r="K18" s="128">
        <f>SUM(G20:G20)</f>
        <v>0</v>
      </c>
      <c r="L18" s="132">
        <v>0</v>
      </c>
      <c r="M18" s="128">
        <v>0</v>
      </c>
      <c r="N18" s="57"/>
      <c r="O18" s="134">
        <f>SUM(H18+J18)</f>
        <v>504</v>
      </c>
      <c r="P18" s="134">
        <f>SUM(K18+M18)</f>
        <v>0</v>
      </c>
    </row>
    <row r="19" spans="3:17" x14ac:dyDescent="0.45">
      <c r="C19" s="61"/>
      <c r="D19" s="61"/>
      <c r="E19" s="61"/>
      <c r="F19" s="62"/>
      <c r="G19" s="63"/>
      <c r="H19" s="129"/>
      <c r="I19" s="131"/>
      <c r="J19" s="129"/>
      <c r="K19" s="129"/>
      <c r="L19" s="133"/>
      <c r="M19" s="129"/>
      <c r="N19" s="58"/>
      <c r="O19" s="135"/>
      <c r="P19" s="135"/>
    </row>
    <row r="20" spans="3:17" x14ac:dyDescent="0.45">
      <c r="C20" s="64"/>
      <c r="D20" s="64"/>
      <c r="E20" s="64"/>
      <c r="F20" s="65"/>
      <c r="G20" s="66"/>
      <c r="H20" s="129"/>
      <c r="I20" s="131"/>
      <c r="J20" s="129"/>
      <c r="K20" s="129"/>
      <c r="L20" s="133"/>
      <c r="M20" s="129"/>
      <c r="N20" s="58"/>
      <c r="O20" s="135"/>
      <c r="P20" s="135"/>
    </row>
    <row r="21" spans="3:17" ht="14.65" thickBot="1" x14ac:dyDescent="0.5">
      <c r="C21" s="142" t="s">
        <v>133</v>
      </c>
      <c r="D21" s="142"/>
      <c r="E21" s="142"/>
      <c r="F21" s="142"/>
      <c r="G21" s="142"/>
      <c r="H21" s="67">
        <f>SUM(H15:H20)</f>
        <v>0</v>
      </c>
      <c r="I21" s="67">
        <f t="shared" ref="I21:P21" si="0">SUM(I15:I20)</f>
        <v>9</v>
      </c>
      <c r="J21" s="67">
        <f t="shared" si="0"/>
        <v>594</v>
      </c>
      <c r="K21" s="67">
        <f t="shared" si="0"/>
        <v>0</v>
      </c>
      <c r="L21" s="67">
        <f t="shared" si="0"/>
        <v>2</v>
      </c>
      <c r="M21" s="67">
        <f t="shared" si="0"/>
        <v>90</v>
      </c>
      <c r="N21" s="67">
        <f t="shared" si="0"/>
        <v>0</v>
      </c>
      <c r="O21" s="67">
        <f t="shared" si="0"/>
        <v>594</v>
      </c>
      <c r="P21" s="67">
        <f t="shared" si="0"/>
        <v>90</v>
      </c>
      <c r="Q21" t="s">
        <v>134</v>
      </c>
    </row>
    <row r="23" spans="3:17" ht="14.65" thickBot="1" x14ac:dyDescent="0.5"/>
    <row r="24" spans="3:17" x14ac:dyDescent="0.45">
      <c r="C24" s="136" t="s">
        <v>135</v>
      </c>
      <c r="D24" s="136"/>
      <c r="E24" s="136"/>
      <c r="F24" s="136"/>
      <c r="G24" s="137"/>
      <c r="H24" s="60" t="s">
        <v>121</v>
      </c>
      <c r="I24" s="60" t="s">
        <v>122</v>
      </c>
      <c r="J24" s="60" t="s">
        <v>123</v>
      </c>
      <c r="K24" s="48" t="s">
        <v>124</v>
      </c>
      <c r="L24" s="48" t="s">
        <v>125</v>
      </c>
      <c r="M24" s="48" t="s">
        <v>126</v>
      </c>
      <c r="N24" s="48"/>
      <c r="O24" s="60" t="s">
        <v>127</v>
      </c>
      <c r="P24" s="49" t="s">
        <v>128</v>
      </c>
    </row>
    <row r="25" spans="3:17" x14ac:dyDescent="0.45">
      <c r="C25" s="22" t="s">
        <v>136</v>
      </c>
      <c r="D25" s="21" t="s">
        <v>137</v>
      </c>
      <c r="E25" s="51"/>
      <c r="F25" s="51"/>
      <c r="G25" s="21"/>
      <c r="H25" s="128">
        <f>SUM(G26:G26)</f>
        <v>0</v>
      </c>
      <c r="I25" s="130">
        <v>11</v>
      </c>
      <c r="J25" s="128">
        <f>D5*I25</f>
        <v>2277</v>
      </c>
      <c r="K25" s="128">
        <f>SUM(G27:G27)</f>
        <v>0</v>
      </c>
      <c r="L25" s="132">
        <v>4</v>
      </c>
      <c r="M25" s="128">
        <f>L25*D8</f>
        <v>660</v>
      </c>
      <c r="N25" s="57"/>
      <c r="O25" s="134">
        <f>SUM(H25+J25)</f>
        <v>2277</v>
      </c>
      <c r="P25" s="134">
        <f>SUM(K25+M25)</f>
        <v>660</v>
      </c>
    </row>
    <row r="26" spans="3:17" x14ac:dyDescent="0.45">
      <c r="C26" s="61"/>
      <c r="D26" s="61"/>
      <c r="E26" s="61"/>
      <c r="F26" s="62"/>
      <c r="G26" s="63"/>
      <c r="H26" s="129"/>
      <c r="I26" s="131"/>
      <c r="J26" s="129"/>
      <c r="K26" s="129"/>
      <c r="L26" s="133"/>
      <c r="M26" s="129"/>
      <c r="N26" s="58"/>
      <c r="O26" s="135"/>
      <c r="P26" s="135"/>
    </row>
    <row r="27" spans="3:17" x14ac:dyDescent="0.45">
      <c r="C27" s="64"/>
      <c r="D27" s="64"/>
      <c r="E27" s="64"/>
      <c r="F27" s="65"/>
      <c r="G27" s="66"/>
      <c r="H27" s="129"/>
      <c r="I27" s="131"/>
      <c r="J27" s="129"/>
      <c r="K27" s="129"/>
      <c r="L27" s="133"/>
      <c r="M27" s="129"/>
      <c r="N27" s="58"/>
      <c r="O27" s="135"/>
      <c r="P27" s="135"/>
    </row>
    <row r="28" spans="3:17" x14ac:dyDescent="0.45">
      <c r="C28" s="22" t="s">
        <v>138</v>
      </c>
      <c r="D28" s="21" t="s">
        <v>139</v>
      </c>
      <c r="E28" s="51"/>
      <c r="F28" s="51"/>
      <c r="G28" s="21"/>
      <c r="H28" s="128">
        <f>SUM(G29:G29)</f>
        <v>0</v>
      </c>
      <c r="I28" s="130">
        <v>48</v>
      </c>
      <c r="J28" s="128">
        <v>0</v>
      </c>
      <c r="K28" s="128">
        <f>SUM(G30:G30)</f>
        <v>0</v>
      </c>
      <c r="L28" s="132">
        <v>0</v>
      </c>
      <c r="M28" s="128">
        <v>0</v>
      </c>
      <c r="N28" s="57"/>
      <c r="O28" s="134">
        <f>SUM(H28+J28)</f>
        <v>0</v>
      </c>
      <c r="P28" s="134">
        <f>SUM(K28+M28)</f>
        <v>0</v>
      </c>
    </row>
    <row r="29" spans="3:17" x14ac:dyDescent="0.45">
      <c r="C29" s="61"/>
      <c r="D29" s="61"/>
      <c r="E29" s="61"/>
      <c r="F29" s="62"/>
      <c r="G29" s="63"/>
      <c r="H29" s="129"/>
      <c r="I29" s="131"/>
      <c r="J29" s="129"/>
      <c r="K29" s="129"/>
      <c r="L29" s="133"/>
      <c r="M29" s="129"/>
      <c r="N29" s="58"/>
      <c r="O29" s="135"/>
      <c r="P29" s="135"/>
    </row>
    <row r="30" spans="3:17" x14ac:dyDescent="0.45">
      <c r="C30" s="64"/>
      <c r="D30" s="64"/>
      <c r="E30" s="64"/>
      <c r="F30" s="65"/>
      <c r="G30" s="66"/>
      <c r="H30" s="129"/>
      <c r="I30" s="131"/>
      <c r="J30" s="129"/>
      <c r="K30" s="129"/>
      <c r="L30" s="133"/>
      <c r="M30" s="129"/>
      <c r="N30" s="58"/>
      <c r="O30" s="135"/>
      <c r="P30" s="135"/>
    </row>
    <row r="31" spans="3:17" x14ac:dyDescent="0.45">
      <c r="C31" s="22" t="s">
        <v>140</v>
      </c>
      <c r="D31" s="21" t="s">
        <v>141</v>
      </c>
      <c r="E31" s="51"/>
      <c r="F31" s="51"/>
      <c r="G31" s="21"/>
      <c r="H31" s="128">
        <f>SUM(G32:G32)</f>
        <v>0</v>
      </c>
      <c r="I31" s="130">
        <v>3</v>
      </c>
      <c r="J31" s="128">
        <f>D5*I31</f>
        <v>621</v>
      </c>
      <c r="K31" s="128">
        <f>SUM(G33:G33)</f>
        <v>0</v>
      </c>
      <c r="L31" s="132">
        <v>2</v>
      </c>
      <c r="M31" s="128">
        <f>L31*D8</f>
        <v>330</v>
      </c>
      <c r="N31" s="57"/>
      <c r="O31" s="134">
        <f>SUM(H31+J31)</f>
        <v>621</v>
      </c>
      <c r="P31" s="134">
        <f>SUM(K31+M31)</f>
        <v>330</v>
      </c>
    </row>
    <row r="32" spans="3:17" x14ac:dyDescent="0.45">
      <c r="C32" s="61"/>
      <c r="D32" s="61"/>
      <c r="E32" s="61"/>
      <c r="F32" s="62"/>
      <c r="G32" s="63"/>
      <c r="H32" s="129"/>
      <c r="I32" s="131"/>
      <c r="J32" s="129"/>
      <c r="K32" s="129"/>
      <c r="L32" s="133"/>
      <c r="M32" s="129"/>
      <c r="N32" s="58"/>
      <c r="O32" s="135"/>
      <c r="P32" s="135"/>
    </row>
    <row r="33" spans="3:16" x14ac:dyDescent="0.45">
      <c r="C33" s="64"/>
      <c r="D33" s="64"/>
      <c r="E33" s="64"/>
      <c r="F33" s="65"/>
      <c r="G33" s="66"/>
      <c r="H33" s="129"/>
      <c r="I33" s="131"/>
      <c r="J33" s="129"/>
      <c r="K33" s="129"/>
      <c r="L33" s="133"/>
      <c r="M33" s="129"/>
      <c r="N33" s="58"/>
      <c r="O33" s="135"/>
      <c r="P33" s="135"/>
    </row>
    <row r="34" spans="3:16" x14ac:dyDescent="0.45">
      <c r="C34" s="22" t="s">
        <v>142</v>
      </c>
      <c r="D34" s="21" t="s">
        <v>143</v>
      </c>
      <c r="E34" s="51"/>
      <c r="F34" s="51"/>
      <c r="G34" s="21"/>
      <c r="H34" s="128">
        <f>SUM(G35:G35)</f>
        <v>0</v>
      </c>
      <c r="I34" s="130">
        <v>24</v>
      </c>
      <c r="J34" s="128">
        <v>2850</v>
      </c>
      <c r="K34" s="128">
        <f>SUM(G36:G36)</f>
        <v>0</v>
      </c>
      <c r="L34" s="132">
        <v>0</v>
      </c>
      <c r="M34" s="128">
        <v>0</v>
      </c>
      <c r="N34" s="57"/>
      <c r="O34" s="134">
        <f>SUM(H34+J34)</f>
        <v>2850</v>
      </c>
      <c r="P34" s="134">
        <f>SUM(K34+M34)</f>
        <v>0</v>
      </c>
    </row>
    <row r="35" spans="3:16" x14ac:dyDescent="0.45">
      <c r="C35" s="61"/>
      <c r="D35" s="61"/>
      <c r="E35" s="61"/>
      <c r="F35" s="62"/>
      <c r="G35" s="63"/>
      <c r="H35" s="129"/>
      <c r="I35" s="131"/>
      <c r="J35" s="129"/>
      <c r="K35" s="129"/>
      <c r="L35" s="133"/>
      <c r="M35" s="129"/>
      <c r="N35" s="58"/>
      <c r="O35" s="135"/>
      <c r="P35" s="135"/>
    </row>
    <row r="36" spans="3:16" x14ac:dyDescent="0.45">
      <c r="C36" s="64"/>
      <c r="D36" s="64"/>
      <c r="E36" s="64"/>
      <c r="F36" s="65"/>
      <c r="G36" s="66"/>
      <c r="H36" s="129"/>
      <c r="I36" s="131"/>
      <c r="J36" s="129"/>
      <c r="K36" s="129"/>
      <c r="L36" s="133"/>
      <c r="M36" s="129"/>
      <c r="N36" s="58"/>
      <c r="O36" s="135"/>
      <c r="P36" s="135"/>
    </row>
    <row r="37" spans="3:16" x14ac:dyDescent="0.45">
      <c r="C37" s="142" t="s">
        <v>133</v>
      </c>
      <c r="D37" s="142"/>
      <c r="E37" s="142"/>
      <c r="F37" s="142"/>
      <c r="G37" s="142"/>
      <c r="H37" s="67">
        <f>SUM(H25:H36)</f>
        <v>0</v>
      </c>
      <c r="I37" s="67">
        <f t="shared" ref="I37:P37" si="1">SUM(I25:I36)</f>
        <v>86</v>
      </c>
      <c r="J37" s="67">
        <f t="shared" si="1"/>
        <v>5748</v>
      </c>
      <c r="K37" s="67">
        <f t="shared" si="1"/>
        <v>0</v>
      </c>
      <c r="L37" s="67">
        <f t="shared" si="1"/>
        <v>6</v>
      </c>
      <c r="M37" s="67">
        <f t="shared" si="1"/>
        <v>990</v>
      </c>
      <c r="N37" s="67">
        <f t="shared" si="1"/>
        <v>0</v>
      </c>
      <c r="O37" s="67">
        <f t="shared" si="1"/>
        <v>5748</v>
      </c>
      <c r="P37" s="67">
        <f t="shared" si="1"/>
        <v>990</v>
      </c>
    </row>
    <row r="38" spans="3:16" ht="14.65" thickBot="1" x14ac:dyDescent="0.5"/>
    <row r="39" spans="3:16" x14ac:dyDescent="0.45">
      <c r="C39" s="136" t="s">
        <v>144</v>
      </c>
      <c r="D39" s="136"/>
      <c r="E39" s="136"/>
      <c r="F39" s="136"/>
      <c r="G39" s="137"/>
      <c r="H39" s="60" t="s">
        <v>121</v>
      </c>
      <c r="I39" s="60" t="s">
        <v>122</v>
      </c>
      <c r="J39" s="60" t="s">
        <v>123</v>
      </c>
      <c r="K39" s="48" t="s">
        <v>124</v>
      </c>
      <c r="L39" s="48" t="s">
        <v>125</v>
      </c>
      <c r="M39" s="48" t="s">
        <v>126</v>
      </c>
      <c r="N39" s="48"/>
      <c r="O39" s="60" t="s">
        <v>127</v>
      </c>
      <c r="P39" s="49" t="s">
        <v>128</v>
      </c>
    </row>
    <row r="40" spans="3:16" x14ac:dyDescent="0.45">
      <c r="C40" s="22" t="s">
        <v>106</v>
      </c>
      <c r="D40" s="21" t="s">
        <v>145</v>
      </c>
      <c r="E40" s="51"/>
      <c r="F40" s="51"/>
      <c r="G40" s="21"/>
      <c r="H40" s="128">
        <f>SUM(G41:G44)</f>
        <v>198</v>
      </c>
      <c r="I40" s="130">
        <v>6</v>
      </c>
      <c r="J40" s="128">
        <f>D6*I40</f>
        <v>432</v>
      </c>
      <c r="K40" s="128">
        <f>H40</f>
        <v>198</v>
      </c>
      <c r="L40" s="132">
        <v>6</v>
      </c>
      <c r="M40" s="128">
        <f>J40</f>
        <v>432</v>
      </c>
      <c r="N40" s="57"/>
      <c r="O40" s="134">
        <f>SUM(H40+J40)</f>
        <v>630</v>
      </c>
      <c r="P40" s="134">
        <f>SUM(K40+M40)</f>
        <v>630</v>
      </c>
    </row>
    <row r="41" spans="3:16" x14ac:dyDescent="0.45">
      <c r="C41" s="61" t="s">
        <v>146</v>
      </c>
      <c r="D41" s="61" t="s">
        <v>147</v>
      </c>
      <c r="E41" s="61">
        <v>30</v>
      </c>
      <c r="F41" s="62">
        <v>1.7</v>
      </c>
      <c r="G41" s="63">
        <f t="shared" ref="G41:G44" si="2">F41*E41</f>
        <v>51</v>
      </c>
      <c r="H41" s="129"/>
      <c r="I41" s="131"/>
      <c r="J41" s="129"/>
      <c r="K41" s="129"/>
      <c r="L41" s="133"/>
      <c r="M41" s="129"/>
      <c r="N41" s="58"/>
      <c r="O41" s="135"/>
      <c r="P41" s="135"/>
    </row>
    <row r="42" spans="3:16" x14ac:dyDescent="0.45">
      <c r="C42" s="61" t="s">
        <v>148</v>
      </c>
      <c r="D42" s="61" t="s">
        <v>149</v>
      </c>
      <c r="E42" s="61">
        <v>2</v>
      </c>
      <c r="F42" s="62">
        <v>35</v>
      </c>
      <c r="G42" s="63"/>
      <c r="H42" s="129"/>
      <c r="I42" s="131"/>
      <c r="J42" s="129"/>
      <c r="K42" s="129"/>
      <c r="L42" s="133"/>
      <c r="M42" s="129"/>
      <c r="N42" s="58"/>
      <c r="O42" s="135"/>
      <c r="P42" s="135"/>
    </row>
    <row r="43" spans="3:16" x14ac:dyDescent="0.45">
      <c r="C43" s="61" t="s">
        <v>150</v>
      </c>
      <c r="D43" s="61" t="s">
        <v>149</v>
      </c>
      <c r="E43" s="61">
        <v>4</v>
      </c>
      <c r="F43" s="62">
        <v>18</v>
      </c>
      <c r="G43" s="63">
        <f t="shared" ref="G43" si="3">F43*E43</f>
        <v>72</v>
      </c>
      <c r="H43" s="129"/>
      <c r="I43" s="131"/>
      <c r="J43" s="129"/>
      <c r="K43" s="129"/>
      <c r="L43" s="133"/>
      <c r="M43" s="129"/>
      <c r="N43" s="58"/>
      <c r="O43" s="135"/>
      <c r="P43" s="135"/>
    </row>
    <row r="44" spans="3:16" x14ac:dyDescent="0.45">
      <c r="C44" s="61" t="s">
        <v>151</v>
      </c>
      <c r="D44" s="61" t="s">
        <v>151</v>
      </c>
      <c r="E44" s="61">
        <v>1</v>
      </c>
      <c r="F44" s="62">
        <v>75</v>
      </c>
      <c r="G44" s="63">
        <f t="shared" si="2"/>
        <v>75</v>
      </c>
      <c r="H44" s="129"/>
      <c r="I44" s="131"/>
      <c r="J44" s="129"/>
      <c r="K44" s="129"/>
      <c r="L44" s="133"/>
      <c r="M44" s="129"/>
      <c r="N44" s="58"/>
      <c r="O44" s="135"/>
      <c r="P44" s="135"/>
    </row>
    <row r="45" spans="3:16" x14ac:dyDescent="0.45">
      <c r="C45" s="22" t="s">
        <v>152</v>
      </c>
      <c r="D45" s="21" t="s">
        <v>153</v>
      </c>
      <c r="E45" s="51"/>
      <c r="F45" s="51"/>
      <c r="G45" s="21"/>
      <c r="H45" s="128">
        <f>SUM(G46:G47)</f>
        <v>185</v>
      </c>
      <c r="I45" s="130">
        <v>3</v>
      </c>
      <c r="J45" s="128">
        <f>D6*I45</f>
        <v>216</v>
      </c>
      <c r="K45" s="128">
        <f>H45</f>
        <v>185</v>
      </c>
      <c r="L45" s="132">
        <v>3</v>
      </c>
      <c r="M45" s="128">
        <f>J45</f>
        <v>216</v>
      </c>
      <c r="N45" s="57"/>
      <c r="O45" s="134">
        <f>SUM(H45+J45)</f>
        <v>401</v>
      </c>
      <c r="P45" s="134">
        <f>SUM(K45+M45)</f>
        <v>401</v>
      </c>
    </row>
    <row r="46" spans="3:16" x14ac:dyDescent="0.45">
      <c r="C46" s="61" t="s">
        <v>154</v>
      </c>
      <c r="D46" s="61" t="s">
        <v>149</v>
      </c>
      <c r="E46" s="61">
        <v>3</v>
      </c>
      <c r="F46" s="62">
        <v>45</v>
      </c>
      <c r="G46" s="63">
        <f t="shared" ref="G46:G47" si="4">F46*E46</f>
        <v>135</v>
      </c>
      <c r="H46" s="129"/>
      <c r="I46" s="131"/>
      <c r="J46" s="129"/>
      <c r="K46" s="129"/>
      <c r="L46" s="133"/>
      <c r="M46" s="129"/>
      <c r="N46" s="58"/>
      <c r="O46" s="135"/>
      <c r="P46" s="135"/>
    </row>
    <row r="47" spans="3:16" x14ac:dyDescent="0.45">
      <c r="C47" s="61" t="s">
        <v>155</v>
      </c>
      <c r="D47" s="61" t="s">
        <v>149</v>
      </c>
      <c r="E47" s="61">
        <v>1</v>
      </c>
      <c r="F47" s="62">
        <v>50</v>
      </c>
      <c r="G47" s="63">
        <f t="shared" si="4"/>
        <v>50</v>
      </c>
      <c r="H47" s="129"/>
      <c r="I47" s="131"/>
      <c r="J47" s="129"/>
      <c r="K47" s="129"/>
      <c r="L47" s="133"/>
      <c r="M47" s="129"/>
      <c r="N47" s="58"/>
      <c r="O47" s="135"/>
      <c r="P47" s="135"/>
    </row>
    <row r="48" spans="3:16" x14ac:dyDescent="0.45">
      <c r="C48" s="22" t="s">
        <v>156</v>
      </c>
      <c r="D48" s="21" t="s">
        <v>157</v>
      </c>
      <c r="E48" s="51"/>
      <c r="F48" s="51"/>
      <c r="G48" s="21"/>
      <c r="H48" s="128">
        <f>SUM(G49:G49)</f>
        <v>900</v>
      </c>
      <c r="I48" s="130">
        <v>1.5</v>
      </c>
      <c r="J48" s="151">
        <f>D6</f>
        <v>72</v>
      </c>
      <c r="K48" s="128">
        <f>H48</f>
        <v>900</v>
      </c>
      <c r="L48" s="132">
        <v>1.5</v>
      </c>
      <c r="M48" s="151">
        <f>J48</f>
        <v>72</v>
      </c>
      <c r="N48" s="57"/>
      <c r="O48" s="134">
        <f>SUM(H48+J48)</f>
        <v>972</v>
      </c>
      <c r="P48" s="134">
        <f>SUM(K48+M48)</f>
        <v>972</v>
      </c>
    </row>
    <row r="49" spans="2:16" x14ac:dyDescent="0.45">
      <c r="C49" s="61" t="s">
        <v>158</v>
      </c>
      <c r="D49" s="61" t="s">
        <v>159</v>
      </c>
      <c r="E49" s="61">
        <v>3</v>
      </c>
      <c r="F49" s="62">
        <v>300</v>
      </c>
      <c r="G49" s="63">
        <f t="shared" ref="G49" si="5">F49*E49</f>
        <v>900</v>
      </c>
      <c r="H49" s="129"/>
      <c r="I49" s="131"/>
      <c r="J49" s="129"/>
      <c r="K49" s="129"/>
      <c r="L49" s="133"/>
      <c r="M49" s="129"/>
      <c r="N49" s="58"/>
      <c r="O49" s="135"/>
      <c r="P49" s="135"/>
    </row>
    <row r="50" spans="2:16" x14ac:dyDescent="0.45">
      <c r="C50" s="22" t="s">
        <v>160</v>
      </c>
      <c r="D50" s="21" t="s">
        <v>161</v>
      </c>
      <c r="E50" s="51"/>
      <c r="F50" s="51"/>
      <c r="G50" s="21"/>
      <c r="H50" s="128">
        <f>SUM(G51:G51)</f>
        <v>18</v>
      </c>
      <c r="I50" s="130">
        <f>E51/H6</f>
        <v>2</v>
      </c>
      <c r="J50" s="132">
        <f>I50*D6</f>
        <v>144</v>
      </c>
      <c r="K50" s="128">
        <f>H50</f>
        <v>18</v>
      </c>
      <c r="L50" s="132">
        <v>2</v>
      </c>
      <c r="M50" s="128">
        <f>J50</f>
        <v>144</v>
      </c>
      <c r="N50" s="57"/>
      <c r="O50" s="134">
        <f>SUM(H50+J50)</f>
        <v>162</v>
      </c>
      <c r="P50" s="134">
        <f>SUM(K50+M50)</f>
        <v>162</v>
      </c>
    </row>
    <row r="51" spans="2:16" x14ac:dyDescent="0.45">
      <c r="C51" s="61" t="s">
        <v>162</v>
      </c>
      <c r="D51" s="61" t="s">
        <v>163</v>
      </c>
      <c r="E51" s="61">
        <v>30</v>
      </c>
      <c r="F51" s="62">
        <v>0.6</v>
      </c>
      <c r="G51" s="63">
        <f t="shared" ref="G51" si="6">F51*E51</f>
        <v>18</v>
      </c>
      <c r="H51" s="129"/>
      <c r="I51" s="131"/>
      <c r="J51" s="129"/>
      <c r="K51" s="129"/>
      <c r="L51" s="133"/>
      <c r="M51" s="129"/>
      <c r="N51" s="58"/>
      <c r="O51" s="135"/>
      <c r="P51" s="135"/>
    </row>
    <row r="52" spans="2:16" x14ac:dyDescent="0.45">
      <c r="C52" s="43" t="s">
        <v>164</v>
      </c>
      <c r="D52" s="44" t="s">
        <v>165</v>
      </c>
      <c r="E52" s="51"/>
      <c r="F52" s="51"/>
      <c r="G52" s="21"/>
      <c r="H52" s="128">
        <v>0</v>
      </c>
      <c r="I52" s="130">
        <v>0</v>
      </c>
      <c r="J52" s="128">
        <v>0</v>
      </c>
      <c r="K52" s="128">
        <f>SUM(G53:G55)</f>
        <v>15190</v>
      </c>
      <c r="L52" s="132">
        <v>10</v>
      </c>
      <c r="M52" s="128">
        <f>L52*D7</f>
        <v>450</v>
      </c>
      <c r="N52" s="57"/>
      <c r="O52" s="134">
        <f>SUM(H52+J52)</f>
        <v>0</v>
      </c>
      <c r="P52" s="134">
        <f>SUM(K52+M52)</f>
        <v>15640</v>
      </c>
    </row>
    <row r="53" spans="2:16" x14ac:dyDescent="0.45">
      <c r="C53" s="64" t="s">
        <v>164</v>
      </c>
      <c r="D53" s="64" t="s">
        <v>166</v>
      </c>
      <c r="E53" s="64">
        <v>2</v>
      </c>
      <c r="F53" s="65">
        <v>1990</v>
      </c>
      <c r="G53" s="66">
        <f t="shared" ref="G53:G55" si="7">F53*E53</f>
        <v>3980</v>
      </c>
      <c r="H53" s="129"/>
      <c r="I53" s="131"/>
      <c r="J53" s="129"/>
      <c r="K53" s="129"/>
      <c r="L53" s="133"/>
      <c r="M53" s="129"/>
      <c r="N53" s="58"/>
      <c r="O53" s="135"/>
      <c r="P53" s="135"/>
    </row>
    <row r="54" spans="2:16" x14ac:dyDescent="0.45">
      <c r="B54" s="47"/>
      <c r="C54" s="64" t="s">
        <v>164</v>
      </c>
      <c r="D54" s="64" t="s">
        <v>167</v>
      </c>
      <c r="E54" s="64">
        <v>10</v>
      </c>
      <c r="F54" s="65">
        <v>725</v>
      </c>
      <c r="G54" s="66">
        <f t="shared" si="7"/>
        <v>7250</v>
      </c>
      <c r="H54" s="129"/>
      <c r="I54" s="131"/>
      <c r="J54" s="129"/>
      <c r="K54" s="129"/>
      <c r="L54" s="133"/>
      <c r="M54" s="129"/>
      <c r="N54" s="58"/>
      <c r="O54" s="135"/>
      <c r="P54" s="135"/>
    </row>
    <row r="55" spans="2:16" x14ac:dyDescent="0.45">
      <c r="C55" s="64" t="s">
        <v>164</v>
      </c>
      <c r="D55" s="64" t="s">
        <v>168</v>
      </c>
      <c r="E55" s="64">
        <v>4</v>
      </c>
      <c r="F55" s="65">
        <v>990</v>
      </c>
      <c r="G55" s="66">
        <f t="shared" si="7"/>
        <v>3960</v>
      </c>
      <c r="H55" s="129"/>
      <c r="I55" s="131"/>
      <c r="J55" s="129"/>
      <c r="K55" s="129"/>
      <c r="L55" s="133"/>
      <c r="M55" s="129"/>
      <c r="N55" s="58"/>
      <c r="O55" s="135"/>
      <c r="P55" s="135"/>
    </row>
    <row r="56" spans="2:16" x14ac:dyDescent="0.45">
      <c r="C56" s="142" t="s">
        <v>133</v>
      </c>
      <c r="D56" s="142"/>
      <c r="E56" s="142"/>
      <c r="F56" s="142"/>
      <c r="G56" s="142"/>
      <c r="H56" s="67">
        <f>SUM(H40:H55)</f>
        <v>1301</v>
      </c>
      <c r="I56" s="67">
        <f t="shared" ref="I56:P56" si="8">SUM(I40:I55)</f>
        <v>12.5</v>
      </c>
      <c r="J56" s="67">
        <f t="shared" si="8"/>
        <v>864</v>
      </c>
      <c r="K56" s="67">
        <f t="shared" si="8"/>
        <v>16491</v>
      </c>
      <c r="L56" s="67">
        <f t="shared" si="8"/>
        <v>22.5</v>
      </c>
      <c r="M56" s="67">
        <f t="shared" si="8"/>
        <v>1314</v>
      </c>
      <c r="N56" s="67">
        <f t="shared" si="8"/>
        <v>0</v>
      </c>
      <c r="O56" s="67">
        <f t="shared" si="8"/>
        <v>2165</v>
      </c>
      <c r="P56" s="67">
        <f t="shared" si="8"/>
        <v>17805</v>
      </c>
    </row>
    <row r="57" spans="2:16" ht="14.65" thickBot="1" x14ac:dyDescent="0.5"/>
    <row r="58" spans="2:16" x14ac:dyDescent="0.45">
      <c r="C58" s="136" t="s">
        <v>169</v>
      </c>
      <c r="D58" s="136"/>
      <c r="E58" s="136"/>
      <c r="F58" s="136"/>
      <c r="G58" s="137"/>
      <c r="H58" s="60" t="s">
        <v>121</v>
      </c>
      <c r="I58" s="60" t="s">
        <v>122</v>
      </c>
      <c r="J58" s="60" t="s">
        <v>123</v>
      </c>
      <c r="K58" s="48" t="s">
        <v>124</v>
      </c>
      <c r="L58" s="48" t="s">
        <v>125</v>
      </c>
      <c r="M58" s="48" t="s">
        <v>126</v>
      </c>
      <c r="N58" s="48"/>
      <c r="O58" s="60" t="s">
        <v>127</v>
      </c>
      <c r="P58" s="49" t="s">
        <v>128</v>
      </c>
    </row>
    <row r="59" spans="2:16" x14ac:dyDescent="0.45">
      <c r="C59" s="23" t="s">
        <v>170</v>
      </c>
      <c r="D59" s="21" t="s">
        <v>171</v>
      </c>
      <c r="E59" s="51"/>
      <c r="F59" s="51"/>
      <c r="G59" s="21"/>
      <c r="H59" s="140">
        <f>SUM(G60:G60)</f>
        <v>225</v>
      </c>
      <c r="I59" s="130">
        <v>30</v>
      </c>
      <c r="J59" s="140">
        <f>I59*D7</f>
        <v>1350</v>
      </c>
      <c r="K59" s="140">
        <f>H59</f>
        <v>225</v>
      </c>
      <c r="L59" s="130">
        <v>6</v>
      </c>
      <c r="M59" s="140">
        <f>J59</f>
        <v>1350</v>
      </c>
      <c r="N59" s="55"/>
      <c r="O59" s="138">
        <f>SUM(H59+J59)</f>
        <v>1575</v>
      </c>
      <c r="P59" s="138">
        <f>SUM(K59+M59)</f>
        <v>1575</v>
      </c>
    </row>
    <row r="60" spans="2:16" x14ac:dyDescent="0.45">
      <c r="C60" s="52" t="s">
        <v>172</v>
      </c>
      <c r="D60" s="52" t="s">
        <v>159</v>
      </c>
      <c r="E60" s="52">
        <v>50</v>
      </c>
      <c r="F60" s="53">
        <f>'Materials Pricing'!H40</f>
        <v>4.5</v>
      </c>
      <c r="G60" s="54">
        <f>F60*E60</f>
        <v>225</v>
      </c>
      <c r="H60" s="141"/>
      <c r="I60" s="131"/>
      <c r="J60" s="141"/>
      <c r="K60" s="141"/>
      <c r="L60" s="131"/>
      <c r="M60" s="141"/>
      <c r="N60" s="56"/>
      <c r="O60" s="139"/>
      <c r="P60" s="139"/>
    </row>
    <row r="61" spans="2:16" x14ac:dyDescent="0.45">
      <c r="C61" s="22" t="s">
        <v>106</v>
      </c>
      <c r="D61" s="21" t="s">
        <v>145</v>
      </c>
      <c r="E61" s="51"/>
      <c r="F61" s="51"/>
      <c r="G61" s="21"/>
      <c r="H61" s="128">
        <f>SUM(G62:G64)</f>
        <v>254.75</v>
      </c>
      <c r="I61" s="130">
        <f>E62/H5</f>
        <v>12.5</v>
      </c>
      <c r="J61" s="128">
        <f>I61*D6</f>
        <v>900</v>
      </c>
      <c r="K61" s="128">
        <v>0</v>
      </c>
      <c r="L61" s="132">
        <v>0</v>
      </c>
      <c r="M61" s="128">
        <f>L61*$D$7</f>
        <v>0</v>
      </c>
      <c r="N61" s="57"/>
      <c r="O61" s="134">
        <f>SUM(H61+J61)</f>
        <v>1154.75</v>
      </c>
      <c r="P61" s="134">
        <f>SUM(K61+M61)</f>
        <v>0</v>
      </c>
    </row>
    <row r="62" spans="2:16" x14ac:dyDescent="0.45">
      <c r="C62" s="61" t="s">
        <v>173</v>
      </c>
      <c r="D62" s="61" t="s">
        <v>174</v>
      </c>
      <c r="E62" s="61">
        <v>75</v>
      </c>
      <c r="F62" s="62">
        <v>1.77</v>
      </c>
      <c r="G62" s="63">
        <f t="shared" ref="G62:G64" si="9">F62*E62</f>
        <v>132.75</v>
      </c>
      <c r="H62" s="129"/>
      <c r="I62" s="131"/>
      <c r="J62" s="129"/>
      <c r="K62" s="129"/>
      <c r="L62" s="133"/>
      <c r="M62" s="129"/>
      <c r="N62" s="58"/>
      <c r="O62" s="135"/>
      <c r="P62" s="135"/>
    </row>
    <row r="63" spans="2:16" x14ac:dyDescent="0.45">
      <c r="C63" s="61" t="s">
        <v>150</v>
      </c>
      <c r="D63" s="61" t="s">
        <v>175</v>
      </c>
      <c r="E63" s="61">
        <v>4</v>
      </c>
      <c r="F63" s="62">
        <v>18</v>
      </c>
      <c r="G63" s="63">
        <f t="shared" si="9"/>
        <v>72</v>
      </c>
      <c r="H63" s="129"/>
      <c r="I63" s="131"/>
      <c r="J63" s="129"/>
      <c r="K63" s="129"/>
      <c r="L63" s="133"/>
      <c r="M63" s="129"/>
      <c r="N63" s="58"/>
      <c r="O63" s="135"/>
      <c r="P63" s="135"/>
    </row>
    <row r="64" spans="2:16" x14ac:dyDescent="0.45">
      <c r="C64" s="61" t="s">
        <v>151</v>
      </c>
      <c r="D64" s="61" t="s">
        <v>176</v>
      </c>
      <c r="E64" s="61">
        <v>1</v>
      </c>
      <c r="F64" s="62">
        <v>50</v>
      </c>
      <c r="G64" s="63">
        <f t="shared" si="9"/>
        <v>50</v>
      </c>
      <c r="H64" s="129"/>
      <c r="I64" s="131"/>
      <c r="J64" s="129"/>
      <c r="K64" s="129"/>
      <c r="L64" s="133"/>
      <c r="M64" s="129"/>
      <c r="N64" s="58"/>
      <c r="O64" s="135"/>
      <c r="P64" s="135"/>
    </row>
    <row r="65" spans="3:16" x14ac:dyDescent="0.45">
      <c r="C65" s="50" t="s">
        <v>177</v>
      </c>
      <c r="D65" s="51" t="s">
        <v>178</v>
      </c>
      <c r="E65" s="51"/>
      <c r="F65" s="51"/>
      <c r="G65" s="21"/>
      <c r="H65" s="128">
        <f>SUM(G66:G69)</f>
        <v>481.77</v>
      </c>
      <c r="I65" s="130">
        <v>8</v>
      </c>
      <c r="J65" s="128">
        <f>I65*D6</f>
        <v>576</v>
      </c>
      <c r="K65" s="128">
        <v>0</v>
      </c>
      <c r="L65" s="132">
        <v>0</v>
      </c>
      <c r="M65" s="128">
        <v>0</v>
      </c>
      <c r="N65" s="57"/>
      <c r="O65" s="134">
        <f>SUM(H65+J65)</f>
        <v>1057.77</v>
      </c>
      <c r="P65" s="134">
        <f>SUM(K65+M65)</f>
        <v>0</v>
      </c>
    </row>
    <row r="66" spans="3:16" x14ac:dyDescent="0.45">
      <c r="C66" s="61" t="s">
        <v>179</v>
      </c>
      <c r="D66" s="61" t="s">
        <v>149</v>
      </c>
      <c r="E66" s="61">
        <v>1</v>
      </c>
      <c r="F66" s="62">
        <v>355</v>
      </c>
      <c r="G66" s="63">
        <f t="shared" ref="G66:G69" si="10">F66*E66</f>
        <v>355</v>
      </c>
      <c r="H66" s="129"/>
      <c r="I66" s="131"/>
      <c r="J66" s="129"/>
      <c r="K66" s="129"/>
      <c r="L66" s="133"/>
      <c r="M66" s="129"/>
      <c r="N66" s="58"/>
      <c r="O66" s="135"/>
      <c r="P66" s="135"/>
    </row>
    <row r="67" spans="3:16" x14ac:dyDescent="0.45">
      <c r="C67" s="61" t="s">
        <v>180</v>
      </c>
      <c r="D67" s="61" t="s">
        <v>149</v>
      </c>
      <c r="E67" s="61">
        <v>2</v>
      </c>
      <c r="F67" s="62">
        <v>45</v>
      </c>
      <c r="G67" s="63">
        <f t="shared" si="10"/>
        <v>90</v>
      </c>
      <c r="H67" s="129"/>
      <c r="I67" s="131"/>
      <c r="J67" s="129"/>
      <c r="K67" s="129"/>
      <c r="L67" s="133"/>
      <c r="M67" s="129"/>
      <c r="N67" s="58"/>
      <c r="O67" s="135"/>
      <c r="P67" s="135"/>
    </row>
    <row r="68" spans="3:16" x14ac:dyDescent="0.45">
      <c r="C68" s="61" t="s">
        <v>146</v>
      </c>
      <c r="D68" s="61" t="s">
        <v>149</v>
      </c>
      <c r="E68" s="61">
        <v>1</v>
      </c>
      <c r="F68" s="62">
        <v>1.77</v>
      </c>
      <c r="G68" s="63">
        <f t="shared" si="10"/>
        <v>1.77</v>
      </c>
      <c r="H68" s="129"/>
      <c r="I68" s="131"/>
      <c r="J68" s="129"/>
      <c r="K68" s="129"/>
      <c r="L68" s="133"/>
      <c r="M68" s="129"/>
      <c r="N68" s="58"/>
      <c r="O68" s="135"/>
      <c r="P68" s="135"/>
    </row>
    <row r="69" spans="3:16" x14ac:dyDescent="0.45">
      <c r="C69" s="61" t="s">
        <v>148</v>
      </c>
      <c r="D69" s="61" t="s">
        <v>149</v>
      </c>
      <c r="E69" s="61">
        <v>1</v>
      </c>
      <c r="F69" s="62">
        <v>35</v>
      </c>
      <c r="G69" s="63">
        <f t="shared" si="10"/>
        <v>35</v>
      </c>
      <c r="H69" s="129"/>
      <c r="I69" s="131"/>
      <c r="J69" s="129"/>
      <c r="K69" s="129"/>
      <c r="L69" s="133"/>
      <c r="M69" s="129"/>
      <c r="N69" s="58"/>
      <c r="O69" s="135"/>
      <c r="P69" s="135"/>
    </row>
    <row r="70" spans="3:16" x14ac:dyDescent="0.45">
      <c r="C70" s="50" t="s">
        <v>181</v>
      </c>
      <c r="D70" s="51" t="s">
        <v>178</v>
      </c>
      <c r="E70" s="51"/>
      <c r="F70" s="51"/>
      <c r="G70" s="21"/>
      <c r="H70" s="128">
        <v>0</v>
      </c>
      <c r="I70" s="130">
        <v>0</v>
      </c>
      <c r="J70" s="128">
        <v>0</v>
      </c>
      <c r="K70" s="128">
        <f>SUM(G71:G71)</f>
        <v>588</v>
      </c>
      <c r="L70" s="145">
        <v>1</v>
      </c>
      <c r="M70" s="128">
        <f>L70*D7</f>
        <v>45</v>
      </c>
      <c r="N70" s="57"/>
      <c r="O70" s="134">
        <f>SUM(H70+J70)</f>
        <v>0</v>
      </c>
      <c r="P70" s="134">
        <f>SUM(K70+M70)</f>
        <v>633</v>
      </c>
    </row>
    <row r="71" spans="3:16" x14ac:dyDescent="0.45">
      <c r="C71" s="64" t="s">
        <v>182</v>
      </c>
      <c r="D71" s="64" t="s">
        <v>159</v>
      </c>
      <c r="E71" s="64">
        <v>300</v>
      </c>
      <c r="F71" s="65">
        <v>1.96</v>
      </c>
      <c r="G71" s="66">
        <f t="shared" ref="G71" si="11">F71*E71</f>
        <v>588</v>
      </c>
      <c r="H71" s="129"/>
      <c r="I71" s="131"/>
      <c r="J71" s="129"/>
      <c r="K71" s="129"/>
      <c r="L71" s="146"/>
      <c r="M71" s="129"/>
      <c r="N71" s="58"/>
      <c r="O71" s="135"/>
      <c r="P71" s="135"/>
    </row>
    <row r="72" spans="3:16" x14ac:dyDescent="0.45">
      <c r="C72" s="50" t="s">
        <v>183</v>
      </c>
      <c r="D72" s="51" t="s">
        <v>178</v>
      </c>
      <c r="E72" s="51"/>
      <c r="F72" s="51"/>
      <c r="G72" s="21"/>
      <c r="H72" s="128">
        <f>SUM(G73:G74)</f>
        <v>225</v>
      </c>
      <c r="I72" s="143">
        <f>E73/$H$7</f>
        <v>2.7272727272727271</v>
      </c>
      <c r="J72" s="128">
        <f>$D$7*I72</f>
        <v>122.72727272727272</v>
      </c>
      <c r="K72" s="128">
        <f>SUM(G75:G76)</f>
        <v>225</v>
      </c>
      <c r="L72" s="145">
        <f>E75/$H$7</f>
        <v>2.7272727272727271</v>
      </c>
      <c r="M72" s="128">
        <f>L72*$D$7</f>
        <v>122.72727272727272</v>
      </c>
      <c r="N72" s="57"/>
      <c r="O72" s="134">
        <f>SUM(H72+J72)</f>
        <v>347.72727272727275</v>
      </c>
      <c r="P72" s="134">
        <f>SUM(K72+M72)</f>
        <v>347.72727272727275</v>
      </c>
    </row>
    <row r="73" spans="3:16" x14ac:dyDescent="0.45">
      <c r="C73" s="61" t="s">
        <v>184</v>
      </c>
      <c r="D73" s="61" t="s">
        <v>185</v>
      </c>
      <c r="E73" s="61">
        <v>300</v>
      </c>
      <c r="F73" s="62">
        <v>0.35</v>
      </c>
      <c r="G73" s="63">
        <f t="shared" ref="G73:G74" si="12">F73*E73</f>
        <v>105</v>
      </c>
      <c r="H73" s="129"/>
      <c r="I73" s="144"/>
      <c r="J73" s="129"/>
      <c r="K73" s="129"/>
      <c r="L73" s="146"/>
      <c r="M73" s="129"/>
      <c r="N73" s="58"/>
      <c r="O73" s="135"/>
      <c r="P73" s="135"/>
    </row>
    <row r="74" spans="3:16" x14ac:dyDescent="0.45">
      <c r="C74" s="61" t="s">
        <v>186</v>
      </c>
      <c r="D74" s="61" t="s">
        <v>187</v>
      </c>
      <c r="E74" s="61">
        <v>24</v>
      </c>
      <c r="F74" s="62">
        <v>5</v>
      </c>
      <c r="G74" s="63">
        <f t="shared" si="12"/>
        <v>120</v>
      </c>
      <c r="H74" s="129"/>
      <c r="I74" s="144"/>
      <c r="J74" s="129"/>
      <c r="K74" s="129"/>
      <c r="L74" s="146"/>
      <c r="M74" s="129"/>
      <c r="N74" s="58"/>
      <c r="O74" s="135"/>
      <c r="P74" s="135"/>
    </row>
    <row r="75" spans="3:16" x14ac:dyDescent="0.45">
      <c r="C75" s="64" t="s">
        <v>188</v>
      </c>
      <c r="D75" s="64" t="s">
        <v>185</v>
      </c>
      <c r="E75" s="64">
        <v>300</v>
      </c>
      <c r="F75" s="65">
        <v>0.35</v>
      </c>
      <c r="G75" s="66">
        <f t="shared" ref="G75:G76" si="13">F75*E75</f>
        <v>105</v>
      </c>
      <c r="H75" s="129"/>
      <c r="I75" s="144"/>
      <c r="J75" s="129"/>
      <c r="K75" s="129"/>
      <c r="L75" s="146"/>
      <c r="M75" s="129"/>
      <c r="N75" s="58"/>
      <c r="O75" s="135"/>
      <c r="P75" s="135"/>
    </row>
    <row r="76" spans="3:16" x14ac:dyDescent="0.45">
      <c r="C76" s="64" t="s">
        <v>186</v>
      </c>
      <c r="D76" s="64" t="s">
        <v>187</v>
      </c>
      <c r="E76" s="64">
        <v>24</v>
      </c>
      <c r="F76" s="65">
        <v>5</v>
      </c>
      <c r="G76" s="66">
        <f t="shared" si="13"/>
        <v>120</v>
      </c>
      <c r="H76" s="129"/>
      <c r="I76" s="144"/>
      <c r="J76" s="129"/>
      <c r="K76" s="129"/>
      <c r="L76" s="146"/>
      <c r="M76" s="129"/>
      <c r="N76" s="58"/>
      <c r="O76" s="135"/>
      <c r="P76" s="135"/>
    </row>
    <row r="77" spans="3:16" x14ac:dyDescent="0.45">
      <c r="C77" s="50" t="s">
        <v>109</v>
      </c>
      <c r="D77" s="51" t="s">
        <v>178</v>
      </c>
      <c r="E77" s="51"/>
      <c r="F77" s="51"/>
      <c r="G77" s="21"/>
      <c r="H77" s="128">
        <f>SUM(G78:G78)</f>
        <v>210</v>
      </c>
      <c r="I77" s="130">
        <f>E78/H6</f>
        <v>5</v>
      </c>
      <c r="J77" s="128">
        <f>D6*I77</f>
        <v>360</v>
      </c>
      <c r="K77" s="128">
        <v>0</v>
      </c>
      <c r="L77" s="132">
        <v>0</v>
      </c>
      <c r="M77" s="128">
        <v>0</v>
      </c>
      <c r="N77" s="57"/>
      <c r="O77" s="134">
        <f>SUM(H77+J77)</f>
        <v>570</v>
      </c>
      <c r="P77" s="134">
        <f>SUM(K77+M77)</f>
        <v>0</v>
      </c>
    </row>
    <row r="78" spans="3:16" x14ac:dyDescent="0.45">
      <c r="C78" s="61" t="s">
        <v>189</v>
      </c>
      <c r="D78" s="61" t="s">
        <v>190</v>
      </c>
      <c r="E78" s="61">
        <v>75</v>
      </c>
      <c r="F78" s="62">
        <v>2.8</v>
      </c>
      <c r="G78" s="63">
        <f t="shared" ref="G78" si="14">F78*E78</f>
        <v>210</v>
      </c>
      <c r="H78" s="129"/>
      <c r="I78" s="131"/>
      <c r="J78" s="129"/>
      <c r="K78" s="129"/>
      <c r="L78" s="133"/>
      <c r="M78" s="129"/>
      <c r="N78" s="58"/>
      <c r="O78" s="135"/>
      <c r="P78" s="135"/>
    </row>
    <row r="79" spans="3:16" x14ac:dyDescent="0.45">
      <c r="C79" s="50" t="s">
        <v>191</v>
      </c>
      <c r="D79" s="51" t="s">
        <v>178</v>
      </c>
      <c r="E79" s="51"/>
      <c r="F79" s="51"/>
      <c r="G79" s="21"/>
      <c r="H79" s="128">
        <v>0</v>
      </c>
      <c r="I79" s="130">
        <v>0</v>
      </c>
      <c r="J79" s="128">
        <v>0</v>
      </c>
      <c r="K79" s="128">
        <f>SUM(G80:G80)</f>
        <v>1650</v>
      </c>
      <c r="L79" s="132">
        <v>0.25</v>
      </c>
      <c r="M79" s="128">
        <f>D7*L79</f>
        <v>11.25</v>
      </c>
      <c r="N79" s="57"/>
      <c r="O79" s="134">
        <f>SUM(H79+J79)</f>
        <v>0</v>
      </c>
      <c r="P79" s="134">
        <f>SUM(K79+M79)</f>
        <v>1661.25</v>
      </c>
    </row>
    <row r="80" spans="3:16" x14ac:dyDescent="0.45">
      <c r="C80" s="64" t="s">
        <v>192</v>
      </c>
      <c r="D80" s="64" t="s">
        <v>193</v>
      </c>
      <c r="E80" s="64">
        <v>1</v>
      </c>
      <c r="F80" s="65">
        <v>1650</v>
      </c>
      <c r="G80" s="66">
        <f t="shared" ref="G80" si="15">F80*E80</f>
        <v>1650</v>
      </c>
      <c r="H80" s="147"/>
      <c r="I80" s="148"/>
      <c r="J80" s="147"/>
      <c r="K80" s="147"/>
      <c r="L80" s="149"/>
      <c r="M80" s="147"/>
      <c r="N80" s="59"/>
      <c r="O80" s="150"/>
      <c r="P80" s="150"/>
    </row>
    <row r="81" spans="3:16" x14ac:dyDescent="0.45">
      <c r="C81" s="142" t="s">
        <v>133</v>
      </c>
      <c r="D81" s="142"/>
      <c r="E81" s="142"/>
      <c r="F81" s="142"/>
      <c r="G81" s="142"/>
      <c r="H81" s="67">
        <f>SUM(H59:H80)</f>
        <v>1396.52</v>
      </c>
      <c r="I81" s="68">
        <f t="shared" ref="I81:P81" si="16">SUM(I59:I80)</f>
        <v>58.227272727272727</v>
      </c>
      <c r="J81" s="67">
        <f t="shared" si="16"/>
        <v>3308.7272727272725</v>
      </c>
      <c r="K81" s="67">
        <f t="shared" si="16"/>
        <v>2688</v>
      </c>
      <c r="L81" s="68">
        <f t="shared" si="16"/>
        <v>9.9772727272727266</v>
      </c>
      <c r="M81" s="67">
        <f t="shared" si="16"/>
        <v>1528.9772727272727</v>
      </c>
      <c r="N81" s="67">
        <f t="shared" si="16"/>
        <v>0</v>
      </c>
      <c r="O81" s="67">
        <f t="shared" si="16"/>
        <v>4705.2472727272725</v>
      </c>
      <c r="P81" s="67">
        <f t="shared" si="16"/>
        <v>4216.977272727273</v>
      </c>
    </row>
    <row r="82" spans="3:16" ht="14.65" thickBot="1" x14ac:dyDescent="0.5"/>
    <row r="83" spans="3:16" x14ac:dyDescent="0.45">
      <c r="C83" s="136" t="s">
        <v>194</v>
      </c>
      <c r="D83" s="136"/>
      <c r="E83" s="136"/>
      <c r="F83" s="136"/>
      <c r="G83" s="137"/>
      <c r="H83" s="60" t="s">
        <v>121</v>
      </c>
      <c r="I83" s="60" t="s">
        <v>122</v>
      </c>
      <c r="J83" s="60" t="s">
        <v>123</v>
      </c>
      <c r="K83" s="48" t="s">
        <v>124</v>
      </c>
      <c r="L83" s="48" t="s">
        <v>125</v>
      </c>
      <c r="M83" s="48" t="s">
        <v>126</v>
      </c>
      <c r="N83" s="48"/>
      <c r="O83" s="60" t="s">
        <v>127</v>
      </c>
      <c r="P83" s="49" t="s">
        <v>128</v>
      </c>
    </row>
    <row r="84" spans="3:16" x14ac:dyDescent="0.45">
      <c r="C84" s="23" t="s">
        <v>170</v>
      </c>
      <c r="D84" s="21" t="s">
        <v>171</v>
      </c>
      <c r="E84" s="51"/>
      <c r="F84" s="51"/>
      <c r="G84" s="21"/>
      <c r="H84" s="140">
        <f>SUM(G85:G85)</f>
        <v>337.5</v>
      </c>
      <c r="I84" s="130">
        <v>37</v>
      </c>
      <c r="J84" s="140">
        <f>I84*$D$7</f>
        <v>1665</v>
      </c>
      <c r="K84" s="140">
        <f>H84</f>
        <v>337.5</v>
      </c>
      <c r="L84" s="130">
        <v>6</v>
      </c>
      <c r="M84" s="140">
        <f>J84</f>
        <v>1665</v>
      </c>
      <c r="N84" s="55"/>
      <c r="O84" s="138">
        <f>SUM(H84+J84)</f>
        <v>2002.5</v>
      </c>
      <c r="P84" s="138">
        <f>SUM(K84+M84)</f>
        <v>2002.5</v>
      </c>
    </row>
    <row r="85" spans="3:16" x14ac:dyDescent="0.45">
      <c r="C85" s="52" t="s">
        <v>172</v>
      </c>
      <c r="D85" s="52" t="s">
        <v>159</v>
      </c>
      <c r="E85" s="52">
        <v>75</v>
      </c>
      <c r="F85" s="53">
        <v>4.5</v>
      </c>
      <c r="G85" s="54">
        <f>F85*E85</f>
        <v>337.5</v>
      </c>
      <c r="H85" s="141"/>
      <c r="I85" s="131"/>
      <c r="J85" s="141"/>
      <c r="K85" s="141"/>
      <c r="L85" s="131"/>
      <c r="M85" s="141"/>
      <c r="N85" s="56"/>
      <c r="O85" s="139"/>
      <c r="P85" s="139"/>
    </row>
    <row r="86" spans="3:16" x14ac:dyDescent="0.45">
      <c r="C86" s="22" t="s">
        <v>106</v>
      </c>
      <c r="D86" s="21" t="s">
        <v>145</v>
      </c>
      <c r="E86" s="51"/>
      <c r="F86" s="51"/>
      <c r="G86" s="21"/>
      <c r="H86" s="128">
        <f>SUM(G87:G89)</f>
        <v>745</v>
      </c>
      <c r="I86" s="152">
        <f>E87/$H$5</f>
        <v>33.333333333333336</v>
      </c>
      <c r="J86" s="151">
        <f>I86*$D$6</f>
        <v>2400</v>
      </c>
      <c r="K86" s="128">
        <v>0</v>
      </c>
      <c r="L86" s="132">
        <v>0</v>
      </c>
      <c r="M86" s="128">
        <f>L86*$D$7</f>
        <v>0</v>
      </c>
      <c r="N86" s="57"/>
      <c r="O86" s="134">
        <f>SUM(H86+J86)</f>
        <v>3145</v>
      </c>
      <c r="P86" s="134">
        <f>SUM(K86+M86)</f>
        <v>0</v>
      </c>
    </row>
    <row r="87" spans="3:16" x14ac:dyDescent="0.45">
      <c r="C87" s="61" t="s">
        <v>173</v>
      </c>
      <c r="D87" s="61" t="s">
        <v>174</v>
      </c>
      <c r="E87" s="61">
        <v>200</v>
      </c>
      <c r="F87" s="62">
        <v>1.77</v>
      </c>
      <c r="G87" s="63">
        <f t="shared" ref="G87:G89" si="17">F87*E87</f>
        <v>354</v>
      </c>
      <c r="H87" s="129"/>
      <c r="I87" s="153"/>
      <c r="J87" s="129"/>
      <c r="K87" s="129"/>
      <c r="L87" s="133"/>
      <c r="M87" s="129"/>
      <c r="N87" s="58"/>
      <c r="O87" s="135"/>
      <c r="P87" s="135"/>
    </row>
    <row r="88" spans="3:16" x14ac:dyDescent="0.45">
      <c r="C88" s="61" t="s">
        <v>150</v>
      </c>
      <c r="D88" s="61" t="s">
        <v>175</v>
      </c>
      <c r="E88" s="61">
        <v>12</v>
      </c>
      <c r="F88" s="62">
        <v>18</v>
      </c>
      <c r="G88" s="63">
        <f t="shared" si="17"/>
        <v>216</v>
      </c>
      <c r="H88" s="129"/>
      <c r="I88" s="153"/>
      <c r="J88" s="129"/>
      <c r="K88" s="129"/>
      <c r="L88" s="133"/>
      <c r="M88" s="129"/>
      <c r="N88" s="58"/>
      <c r="O88" s="135"/>
      <c r="P88" s="135"/>
    </row>
    <row r="89" spans="3:16" x14ac:dyDescent="0.45">
      <c r="C89" s="61" t="s">
        <v>151</v>
      </c>
      <c r="D89" s="61" t="s">
        <v>176</v>
      </c>
      <c r="E89" s="61">
        <v>1</v>
      </c>
      <c r="F89" s="62">
        <v>175</v>
      </c>
      <c r="G89" s="63">
        <f t="shared" si="17"/>
        <v>175</v>
      </c>
      <c r="H89" s="129"/>
      <c r="I89" s="153"/>
      <c r="J89" s="129"/>
      <c r="K89" s="129"/>
      <c r="L89" s="133"/>
      <c r="M89" s="129"/>
      <c r="N89" s="58"/>
      <c r="O89" s="135"/>
      <c r="P89" s="135"/>
    </row>
    <row r="90" spans="3:16" x14ac:dyDescent="0.45">
      <c r="C90" s="50" t="s">
        <v>177</v>
      </c>
      <c r="D90" s="51" t="s">
        <v>178</v>
      </c>
      <c r="E90" s="51"/>
      <c r="F90" s="51"/>
      <c r="G90" s="21"/>
      <c r="H90" s="128">
        <f>SUM(G91:G94)</f>
        <v>481.77</v>
      </c>
      <c r="I90" s="130">
        <v>8</v>
      </c>
      <c r="J90" s="128">
        <f>I90*$D$6</f>
        <v>576</v>
      </c>
      <c r="K90" s="128">
        <v>0</v>
      </c>
      <c r="L90" s="132">
        <v>0</v>
      </c>
      <c r="M90" s="128">
        <v>0</v>
      </c>
      <c r="N90" s="57"/>
      <c r="O90" s="134">
        <f>SUM(H90+J90)</f>
        <v>1057.77</v>
      </c>
      <c r="P90" s="134">
        <f>SUM(K90+M90)</f>
        <v>0</v>
      </c>
    </row>
    <row r="91" spans="3:16" x14ac:dyDescent="0.45">
      <c r="C91" s="61" t="s">
        <v>179</v>
      </c>
      <c r="D91" s="61" t="s">
        <v>149</v>
      </c>
      <c r="E91" s="61">
        <v>1</v>
      </c>
      <c r="F91" s="62">
        <v>355</v>
      </c>
      <c r="G91" s="63">
        <f t="shared" ref="G91:G94" si="18">F91*E91</f>
        <v>355</v>
      </c>
      <c r="H91" s="129"/>
      <c r="I91" s="131"/>
      <c r="J91" s="129"/>
      <c r="K91" s="129"/>
      <c r="L91" s="133"/>
      <c r="M91" s="129"/>
      <c r="N91" s="58"/>
      <c r="O91" s="135"/>
      <c r="P91" s="135"/>
    </row>
    <row r="92" spans="3:16" x14ac:dyDescent="0.45">
      <c r="C92" s="61" t="s">
        <v>180</v>
      </c>
      <c r="D92" s="61" t="s">
        <v>149</v>
      </c>
      <c r="E92" s="61">
        <v>2</v>
      </c>
      <c r="F92" s="62">
        <v>45</v>
      </c>
      <c r="G92" s="63">
        <f t="shared" si="18"/>
        <v>90</v>
      </c>
      <c r="H92" s="129"/>
      <c r="I92" s="131"/>
      <c r="J92" s="129"/>
      <c r="K92" s="129"/>
      <c r="L92" s="133"/>
      <c r="M92" s="129"/>
      <c r="N92" s="58"/>
      <c r="O92" s="135"/>
      <c r="P92" s="135"/>
    </row>
    <row r="93" spans="3:16" x14ac:dyDescent="0.45">
      <c r="C93" s="61" t="s">
        <v>146</v>
      </c>
      <c r="D93" s="61" t="s">
        <v>149</v>
      </c>
      <c r="E93" s="61">
        <v>1</v>
      </c>
      <c r="F93" s="62">
        <v>1.77</v>
      </c>
      <c r="G93" s="63">
        <f t="shared" si="18"/>
        <v>1.77</v>
      </c>
      <c r="H93" s="129"/>
      <c r="I93" s="131"/>
      <c r="J93" s="129"/>
      <c r="K93" s="129"/>
      <c r="L93" s="133"/>
      <c r="M93" s="129"/>
      <c r="N93" s="58"/>
      <c r="O93" s="135"/>
      <c r="P93" s="135"/>
    </row>
    <row r="94" spans="3:16" x14ac:dyDescent="0.45">
      <c r="C94" s="61" t="s">
        <v>148</v>
      </c>
      <c r="D94" s="61" t="s">
        <v>149</v>
      </c>
      <c r="E94" s="61">
        <v>1</v>
      </c>
      <c r="F94" s="62">
        <v>35</v>
      </c>
      <c r="G94" s="63">
        <f t="shared" si="18"/>
        <v>35</v>
      </c>
      <c r="H94" s="129"/>
      <c r="I94" s="131"/>
      <c r="J94" s="129"/>
      <c r="K94" s="129"/>
      <c r="L94" s="133"/>
      <c r="M94" s="129"/>
      <c r="N94" s="58"/>
      <c r="O94" s="135"/>
      <c r="P94" s="135"/>
    </row>
    <row r="95" spans="3:16" x14ac:dyDescent="0.45">
      <c r="C95" s="50" t="s">
        <v>181</v>
      </c>
      <c r="D95" s="51" t="s">
        <v>178</v>
      </c>
      <c r="E95" s="51"/>
      <c r="F95" s="51"/>
      <c r="G95" s="21"/>
      <c r="H95" s="128">
        <v>0</v>
      </c>
      <c r="I95" s="130">
        <v>0</v>
      </c>
      <c r="J95" s="128">
        <v>0</v>
      </c>
      <c r="K95" s="128">
        <f>SUM(G96:G96)</f>
        <v>882</v>
      </c>
      <c r="L95" s="145">
        <v>3</v>
      </c>
      <c r="M95" s="128">
        <f>L95*$D$7</f>
        <v>135</v>
      </c>
      <c r="N95" s="57"/>
      <c r="O95" s="134">
        <f>SUM(H95+J95)</f>
        <v>0</v>
      </c>
      <c r="P95" s="134">
        <f>SUM(K95+M95)</f>
        <v>1017</v>
      </c>
    </row>
    <row r="96" spans="3:16" x14ac:dyDescent="0.45">
      <c r="C96" s="64" t="s">
        <v>182</v>
      </c>
      <c r="D96" s="64" t="s">
        <v>159</v>
      </c>
      <c r="E96" s="64">
        <v>450</v>
      </c>
      <c r="F96" s="65">
        <v>1.96</v>
      </c>
      <c r="G96" s="66">
        <f t="shared" ref="G96" si="19">F96*E96</f>
        <v>882</v>
      </c>
      <c r="H96" s="129"/>
      <c r="I96" s="131"/>
      <c r="J96" s="129"/>
      <c r="K96" s="129"/>
      <c r="L96" s="146"/>
      <c r="M96" s="129"/>
      <c r="N96" s="58"/>
      <c r="O96" s="135"/>
      <c r="P96" s="135"/>
    </row>
    <row r="97" spans="3:16" x14ac:dyDescent="0.45">
      <c r="C97" s="50" t="s">
        <v>183</v>
      </c>
      <c r="D97" s="51" t="s">
        <v>178</v>
      </c>
      <c r="E97" s="51"/>
      <c r="F97" s="51"/>
      <c r="G97" s="21"/>
      <c r="H97" s="128">
        <f>SUM(G98:G99)</f>
        <v>277.5</v>
      </c>
      <c r="I97" s="143">
        <f>E98/$H$7</f>
        <v>4.0909090909090908</v>
      </c>
      <c r="J97" s="128">
        <f>$D$7*I97</f>
        <v>184.09090909090909</v>
      </c>
      <c r="K97" s="128">
        <f>SUM(G100:G101)</f>
        <v>277.5</v>
      </c>
      <c r="L97" s="145">
        <f>E100/$H$7</f>
        <v>4.0909090909090908</v>
      </c>
      <c r="M97" s="128">
        <f>L97*$D$7</f>
        <v>184.09090909090909</v>
      </c>
      <c r="N97" s="57"/>
      <c r="O97" s="134">
        <f>SUM(H97+J97)</f>
        <v>461.59090909090912</v>
      </c>
      <c r="P97" s="134">
        <f>SUM(K97+M97)</f>
        <v>461.59090909090912</v>
      </c>
    </row>
    <row r="98" spans="3:16" x14ac:dyDescent="0.45">
      <c r="C98" s="61" t="s">
        <v>184</v>
      </c>
      <c r="D98" s="61" t="s">
        <v>185</v>
      </c>
      <c r="E98" s="61">
        <v>450</v>
      </c>
      <c r="F98" s="62">
        <v>0.35</v>
      </c>
      <c r="G98" s="63">
        <f t="shared" ref="G98:G101" si="20">F98*E98</f>
        <v>157.5</v>
      </c>
      <c r="H98" s="129"/>
      <c r="I98" s="144"/>
      <c r="J98" s="129"/>
      <c r="K98" s="129"/>
      <c r="L98" s="146"/>
      <c r="M98" s="129"/>
      <c r="N98" s="58"/>
      <c r="O98" s="135"/>
      <c r="P98" s="135"/>
    </row>
    <row r="99" spans="3:16" x14ac:dyDescent="0.45">
      <c r="C99" s="61" t="s">
        <v>186</v>
      </c>
      <c r="D99" s="61" t="s">
        <v>187</v>
      </c>
      <c r="E99" s="61">
        <v>24</v>
      </c>
      <c r="F99" s="62">
        <v>5</v>
      </c>
      <c r="G99" s="63">
        <f t="shared" si="20"/>
        <v>120</v>
      </c>
      <c r="H99" s="129"/>
      <c r="I99" s="144"/>
      <c r="J99" s="129"/>
      <c r="K99" s="129"/>
      <c r="L99" s="146"/>
      <c r="M99" s="129"/>
      <c r="N99" s="58"/>
      <c r="O99" s="135"/>
      <c r="P99" s="135"/>
    </row>
    <row r="100" spans="3:16" x14ac:dyDescent="0.45">
      <c r="C100" s="64" t="s">
        <v>188</v>
      </c>
      <c r="D100" s="64" t="s">
        <v>185</v>
      </c>
      <c r="E100" s="64">
        <v>450</v>
      </c>
      <c r="F100" s="65">
        <v>0.35</v>
      </c>
      <c r="G100" s="66">
        <f t="shared" si="20"/>
        <v>157.5</v>
      </c>
      <c r="H100" s="129"/>
      <c r="I100" s="144"/>
      <c r="J100" s="129"/>
      <c r="K100" s="129"/>
      <c r="L100" s="146"/>
      <c r="M100" s="129"/>
      <c r="N100" s="58"/>
      <c r="O100" s="135"/>
      <c r="P100" s="135"/>
    </row>
    <row r="101" spans="3:16" x14ac:dyDescent="0.45">
      <c r="C101" s="64" t="s">
        <v>186</v>
      </c>
      <c r="D101" s="64" t="s">
        <v>187</v>
      </c>
      <c r="E101" s="64">
        <v>24</v>
      </c>
      <c r="F101" s="65">
        <v>5</v>
      </c>
      <c r="G101" s="66">
        <f t="shared" si="20"/>
        <v>120</v>
      </c>
      <c r="H101" s="129"/>
      <c r="I101" s="144"/>
      <c r="J101" s="129"/>
      <c r="K101" s="129"/>
      <c r="L101" s="146"/>
      <c r="M101" s="129"/>
      <c r="N101" s="58"/>
      <c r="O101" s="135"/>
      <c r="P101" s="135"/>
    </row>
    <row r="102" spans="3:16" x14ac:dyDescent="0.45">
      <c r="C102" s="50" t="s">
        <v>109</v>
      </c>
      <c r="D102" s="51" t="s">
        <v>178</v>
      </c>
      <c r="E102" s="51"/>
      <c r="F102" s="51"/>
      <c r="G102" s="21"/>
      <c r="H102" s="128">
        <f>SUM(G103:G103)</f>
        <v>620</v>
      </c>
      <c r="I102" s="152">
        <f>E103/$H$6</f>
        <v>13.333333333333334</v>
      </c>
      <c r="J102" s="151">
        <f>$D$7*I102</f>
        <v>600</v>
      </c>
      <c r="K102" s="128">
        <v>0</v>
      </c>
      <c r="L102" s="132">
        <v>0</v>
      </c>
      <c r="M102" s="128">
        <v>0</v>
      </c>
      <c r="N102" s="57"/>
      <c r="O102" s="134">
        <f>SUM(H102+J102)</f>
        <v>1220</v>
      </c>
      <c r="P102" s="134">
        <f>SUM(K102+M102)</f>
        <v>0</v>
      </c>
    </row>
    <row r="103" spans="3:16" x14ac:dyDescent="0.45">
      <c r="C103" s="61" t="s">
        <v>195</v>
      </c>
      <c r="D103" s="61" t="s">
        <v>196</v>
      </c>
      <c r="E103" s="61">
        <v>200</v>
      </c>
      <c r="F103" s="62">
        <v>3.1</v>
      </c>
      <c r="G103" s="63">
        <f t="shared" ref="G103" si="21">F103*E103</f>
        <v>620</v>
      </c>
      <c r="H103" s="129"/>
      <c r="I103" s="153"/>
      <c r="J103" s="129"/>
      <c r="K103" s="129"/>
      <c r="L103" s="133"/>
      <c r="M103" s="129"/>
      <c r="N103" s="58"/>
      <c r="O103" s="135"/>
      <c r="P103" s="135"/>
    </row>
    <row r="104" spans="3:16" x14ac:dyDescent="0.45">
      <c r="C104" s="50" t="s">
        <v>191</v>
      </c>
      <c r="D104" s="51" t="s">
        <v>178</v>
      </c>
      <c r="E104" s="51"/>
      <c r="F104" s="51"/>
      <c r="G104" s="21"/>
      <c r="H104" s="128">
        <v>0</v>
      </c>
      <c r="I104" s="130">
        <v>0</v>
      </c>
      <c r="J104" s="128">
        <v>0</v>
      </c>
      <c r="K104" s="128">
        <f>SUM(G105:G105)</f>
        <v>1650</v>
      </c>
      <c r="L104" s="132">
        <v>0.25</v>
      </c>
      <c r="M104" s="128">
        <f>D32*L104</f>
        <v>0</v>
      </c>
      <c r="N104" s="57"/>
      <c r="O104" s="134">
        <f>SUM(H104+J104)</f>
        <v>0</v>
      </c>
      <c r="P104" s="134">
        <f>SUM(K104+M104)</f>
        <v>1650</v>
      </c>
    </row>
    <row r="105" spans="3:16" x14ac:dyDescent="0.45">
      <c r="C105" s="64" t="s">
        <v>192</v>
      </c>
      <c r="D105" s="64" t="s">
        <v>193</v>
      </c>
      <c r="E105" s="64">
        <v>1</v>
      </c>
      <c r="F105" s="65">
        <v>1650</v>
      </c>
      <c r="G105" s="66">
        <f t="shared" ref="G105" si="22">F105*E105</f>
        <v>1650</v>
      </c>
      <c r="H105" s="147"/>
      <c r="I105" s="148"/>
      <c r="J105" s="147"/>
      <c r="K105" s="147"/>
      <c r="L105" s="149"/>
      <c r="M105" s="147"/>
      <c r="N105" s="59"/>
      <c r="O105" s="150"/>
      <c r="P105" s="150"/>
    </row>
    <row r="106" spans="3:16" x14ac:dyDescent="0.45">
      <c r="C106" s="142" t="s">
        <v>133</v>
      </c>
      <c r="D106" s="142"/>
      <c r="E106" s="142"/>
      <c r="F106" s="142"/>
      <c r="G106" s="142"/>
      <c r="H106" s="67">
        <f>SUM(H84:H105)</f>
        <v>2461.77</v>
      </c>
      <c r="I106" s="68">
        <f t="shared" ref="I106" si="23">SUM(I84:I105)</f>
        <v>95.757575757575765</v>
      </c>
      <c r="J106" s="67">
        <f t="shared" ref="J106" si="24">SUM(J84:J105)</f>
        <v>5425.090909090909</v>
      </c>
      <c r="K106" s="67">
        <f t="shared" ref="K106" si="25">SUM(K84:K105)</f>
        <v>3147</v>
      </c>
      <c r="L106" s="68">
        <f t="shared" ref="L106" si="26">SUM(L84:L105)</f>
        <v>13.34090909090909</v>
      </c>
      <c r="M106" s="67">
        <f t="shared" ref="M106" si="27">SUM(M84:M105)</f>
        <v>1984.090909090909</v>
      </c>
      <c r="N106" s="67">
        <f t="shared" ref="N106" si="28">SUM(N84:N105)</f>
        <v>0</v>
      </c>
      <c r="O106" s="67">
        <f t="shared" ref="O106" si="29">SUM(O84:O105)</f>
        <v>7886.8609090909094</v>
      </c>
      <c r="P106" s="67">
        <f t="shared" ref="P106" si="30">SUM(P84:P105)</f>
        <v>5131.090909090909</v>
      </c>
    </row>
    <row r="107" spans="3:16" ht="14.65" thickBot="1" x14ac:dyDescent="0.5"/>
    <row r="108" spans="3:16" x14ac:dyDescent="0.45">
      <c r="C108" s="136" t="s">
        <v>197</v>
      </c>
      <c r="D108" s="136"/>
      <c r="E108" s="136"/>
      <c r="F108" s="136"/>
      <c r="G108" s="137"/>
      <c r="H108" s="60" t="s">
        <v>121</v>
      </c>
      <c r="I108" s="60" t="s">
        <v>122</v>
      </c>
      <c r="J108" s="60" t="s">
        <v>123</v>
      </c>
      <c r="K108" s="48" t="s">
        <v>124</v>
      </c>
      <c r="L108" s="48" t="s">
        <v>125</v>
      </c>
      <c r="M108" s="48" t="s">
        <v>126</v>
      </c>
      <c r="N108" s="48"/>
      <c r="O108" s="60" t="s">
        <v>127</v>
      </c>
      <c r="P108" s="49" t="s">
        <v>128</v>
      </c>
    </row>
    <row r="109" spans="3:16" x14ac:dyDescent="0.45">
      <c r="C109" s="23" t="s">
        <v>170</v>
      </c>
      <c r="D109" s="21" t="s">
        <v>171</v>
      </c>
      <c r="E109" s="51"/>
      <c r="F109" s="51"/>
      <c r="G109" s="21"/>
      <c r="H109" s="140">
        <f>SUM(G110:G110)</f>
        <v>135</v>
      </c>
      <c r="I109" s="130">
        <v>15</v>
      </c>
      <c r="J109" s="140">
        <f>I109*$D$7</f>
        <v>675</v>
      </c>
      <c r="K109" s="140">
        <f>H109</f>
        <v>135</v>
      </c>
      <c r="L109" s="130">
        <v>6</v>
      </c>
      <c r="M109" s="140">
        <f>J109</f>
        <v>675</v>
      </c>
      <c r="N109" s="55"/>
      <c r="O109" s="138">
        <f>SUM(H109+J109)</f>
        <v>810</v>
      </c>
      <c r="P109" s="138">
        <f>SUM(K109+M109)</f>
        <v>810</v>
      </c>
    </row>
    <row r="110" spans="3:16" x14ac:dyDescent="0.45">
      <c r="C110" s="52" t="s">
        <v>172</v>
      </c>
      <c r="D110" s="52" t="s">
        <v>159</v>
      </c>
      <c r="E110" s="52">
        <v>30</v>
      </c>
      <c r="F110" s="53">
        <v>4.5</v>
      </c>
      <c r="G110" s="54">
        <f>F110*E110</f>
        <v>135</v>
      </c>
      <c r="H110" s="141"/>
      <c r="I110" s="131"/>
      <c r="J110" s="141"/>
      <c r="K110" s="141"/>
      <c r="L110" s="131"/>
      <c r="M110" s="141"/>
      <c r="N110" s="56"/>
      <c r="O110" s="139"/>
      <c r="P110" s="139"/>
    </row>
    <row r="111" spans="3:16" x14ac:dyDescent="0.45">
      <c r="C111" s="22" t="s">
        <v>106</v>
      </c>
      <c r="D111" s="21" t="s">
        <v>145</v>
      </c>
      <c r="E111" s="51"/>
      <c r="F111" s="51"/>
      <c r="G111" s="21"/>
      <c r="H111" s="128">
        <f>SUM(G112:G114)</f>
        <v>474.15</v>
      </c>
      <c r="I111" s="152">
        <f>E112/$H$5</f>
        <v>15.833333333333334</v>
      </c>
      <c r="J111" s="151">
        <f>I111*$D$6</f>
        <v>1140</v>
      </c>
      <c r="K111" s="128">
        <v>0</v>
      </c>
      <c r="L111" s="132">
        <v>0</v>
      </c>
      <c r="M111" s="128">
        <f>L111*$D$7</f>
        <v>0</v>
      </c>
      <c r="N111" s="57"/>
      <c r="O111" s="134">
        <f>SUM(H111+J111)</f>
        <v>1614.15</v>
      </c>
      <c r="P111" s="134">
        <f>SUM(K111+M111)</f>
        <v>0</v>
      </c>
    </row>
    <row r="112" spans="3:16" x14ac:dyDescent="0.45">
      <c r="C112" s="61" t="s">
        <v>173</v>
      </c>
      <c r="D112" s="61" t="s">
        <v>174</v>
      </c>
      <c r="E112" s="61">
        <v>95</v>
      </c>
      <c r="F112" s="62">
        <v>1.77</v>
      </c>
      <c r="G112" s="63">
        <f t="shared" ref="G112:G114" si="31">F112*E112</f>
        <v>168.15</v>
      </c>
      <c r="H112" s="129"/>
      <c r="I112" s="153"/>
      <c r="J112" s="129"/>
      <c r="K112" s="129"/>
      <c r="L112" s="133"/>
      <c r="M112" s="129"/>
      <c r="N112" s="58"/>
      <c r="O112" s="135"/>
      <c r="P112" s="135"/>
    </row>
    <row r="113" spans="3:16" x14ac:dyDescent="0.45">
      <c r="C113" s="61" t="s">
        <v>150</v>
      </c>
      <c r="D113" s="61" t="s">
        <v>175</v>
      </c>
      <c r="E113" s="61">
        <v>12</v>
      </c>
      <c r="F113" s="62">
        <v>18</v>
      </c>
      <c r="G113" s="63">
        <f t="shared" si="31"/>
        <v>216</v>
      </c>
      <c r="H113" s="129"/>
      <c r="I113" s="153"/>
      <c r="J113" s="129"/>
      <c r="K113" s="129"/>
      <c r="L113" s="133"/>
      <c r="M113" s="129"/>
      <c r="N113" s="58"/>
      <c r="O113" s="135"/>
      <c r="P113" s="135"/>
    </row>
    <row r="114" spans="3:16" x14ac:dyDescent="0.45">
      <c r="C114" s="61" t="s">
        <v>151</v>
      </c>
      <c r="D114" s="61" t="s">
        <v>176</v>
      </c>
      <c r="E114" s="61">
        <v>1</v>
      </c>
      <c r="F114" s="62">
        <v>90</v>
      </c>
      <c r="G114" s="63">
        <f t="shared" si="31"/>
        <v>90</v>
      </c>
      <c r="H114" s="129"/>
      <c r="I114" s="153"/>
      <c r="J114" s="129"/>
      <c r="K114" s="129"/>
      <c r="L114" s="133"/>
      <c r="M114" s="129"/>
      <c r="N114" s="58"/>
      <c r="O114" s="135"/>
      <c r="P114" s="135"/>
    </row>
    <row r="115" spans="3:16" x14ac:dyDescent="0.45">
      <c r="C115" s="50" t="s">
        <v>177</v>
      </c>
      <c r="D115" s="51" t="s">
        <v>178</v>
      </c>
      <c r="E115" s="51"/>
      <c r="F115" s="51"/>
      <c r="G115" s="21"/>
      <c r="H115" s="128">
        <f>SUM(G116:G119)</f>
        <v>481.77</v>
      </c>
      <c r="I115" s="130">
        <v>8</v>
      </c>
      <c r="J115" s="128">
        <f>I115*$D$6</f>
        <v>576</v>
      </c>
      <c r="K115" s="128">
        <v>0</v>
      </c>
      <c r="L115" s="132">
        <v>0</v>
      </c>
      <c r="M115" s="128">
        <v>0</v>
      </c>
      <c r="N115" s="57"/>
      <c r="O115" s="134">
        <f>SUM(H115+J115)</f>
        <v>1057.77</v>
      </c>
      <c r="P115" s="134">
        <f>SUM(K115+M115)</f>
        <v>0</v>
      </c>
    </row>
    <row r="116" spans="3:16" x14ac:dyDescent="0.45">
      <c r="C116" s="61" t="s">
        <v>179</v>
      </c>
      <c r="D116" s="61" t="s">
        <v>149</v>
      </c>
      <c r="E116" s="61">
        <v>1</v>
      </c>
      <c r="F116" s="62">
        <v>355</v>
      </c>
      <c r="G116" s="63">
        <f t="shared" ref="G116:G119" si="32">F116*E116</f>
        <v>355</v>
      </c>
      <c r="H116" s="129"/>
      <c r="I116" s="131"/>
      <c r="J116" s="129"/>
      <c r="K116" s="129"/>
      <c r="L116" s="133"/>
      <c r="M116" s="129"/>
      <c r="N116" s="58"/>
      <c r="O116" s="135"/>
      <c r="P116" s="135"/>
    </row>
    <row r="117" spans="3:16" x14ac:dyDescent="0.45">
      <c r="C117" s="61" t="s">
        <v>180</v>
      </c>
      <c r="D117" s="61" t="s">
        <v>149</v>
      </c>
      <c r="E117" s="61">
        <v>2</v>
      </c>
      <c r="F117" s="62">
        <v>45</v>
      </c>
      <c r="G117" s="63">
        <f t="shared" si="32"/>
        <v>90</v>
      </c>
      <c r="H117" s="129"/>
      <c r="I117" s="131"/>
      <c r="J117" s="129"/>
      <c r="K117" s="129"/>
      <c r="L117" s="133"/>
      <c r="M117" s="129"/>
      <c r="N117" s="58"/>
      <c r="O117" s="135"/>
      <c r="P117" s="135"/>
    </row>
    <row r="118" spans="3:16" x14ac:dyDescent="0.45">
      <c r="C118" s="61" t="s">
        <v>146</v>
      </c>
      <c r="D118" s="61" t="s">
        <v>149</v>
      </c>
      <c r="E118" s="61">
        <v>1</v>
      </c>
      <c r="F118" s="62">
        <v>1.77</v>
      </c>
      <c r="G118" s="63">
        <f t="shared" si="32"/>
        <v>1.77</v>
      </c>
      <c r="H118" s="129"/>
      <c r="I118" s="131"/>
      <c r="J118" s="129"/>
      <c r="K118" s="129"/>
      <c r="L118" s="133"/>
      <c r="M118" s="129"/>
      <c r="N118" s="58"/>
      <c r="O118" s="135"/>
      <c r="P118" s="135"/>
    </row>
    <row r="119" spans="3:16" x14ac:dyDescent="0.45">
      <c r="C119" s="61" t="s">
        <v>148</v>
      </c>
      <c r="D119" s="61" t="s">
        <v>149</v>
      </c>
      <c r="E119" s="61">
        <v>1</v>
      </c>
      <c r="F119" s="62">
        <v>35</v>
      </c>
      <c r="G119" s="63">
        <f t="shared" si="32"/>
        <v>35</v>
      </c>
      <c r="H119" s="129"/>
      <c r="I119" s="131"/>
      <c r="J119" s="129"/>
      <c r="K119" s="129"/>
      <c r="L119" s="133"/>
      <c r="M119" s="129"/>
      <c r="N119" s="58"/>
      <c r="O119" s="135"/>
      <c r="P119" s="135"/>
    </row>
    <row r="120" spans="3:16" x14ac:dyDescent="0.45">
      <c r="C120" s="50" t="s">
        <v>181</v>
      </c>
      <c r="D120" s="51" t="s">
        <v>178</v>
      </c>
      <c r="E120" s="51"/>
      <c r="F120" s="51"/>
      <c r="G120" s="21"/>
      <c r="H120" s="128">
        <v>0</v>
      </c>
      <c r="I120" s="130">
        <v>0</v>
      </c>
      <c r="J120" s="128">
        <v>0</v>
      </c>
      <c r="K120" s="128">
        <f>SUM(G121:G121)</f>
        <v>392</v>
      </c>
      <c r="L120" s="145">
        <v>3</v>
      </c>
      <c r="M120" s="128">
        <f>L120*$D$7</f>
        <v>135</v>
      </c>
      <c r="N120" s="57"/>
      <c r="O120" s="134">
        <f>SUM(H120+J120)</f>
        <v>0</v>
      </c>
      <c r="P120" s="134">
        <f>SUM(K120+M120)</f>
        <v>527</v>
      </c>
    </row>
    <row r="121" spans="3:16" x14ac:dyDescent="0.45">
      <c r="C121" s="64" t="s">
        <v>182</v>
      </c>
      <c r="D121" s="64" t="s">
        <v>159</v>
      </c>
      <c r="E121" s="64">
        <v>200</v>
      </c>
      <c r="F121" s="65">
        <v>1.96</v>
      </c>
      <c r="G121" s="66">
        <f t="shared" ref="G121" si="33">F121*E121</f>
        <v>392</v>
      </c>
      <c r="H121" s="129"/>
      <c r="I121" s="131"/>
      <c r="J121" s="129"/>
      <c r="K121" s="129"/>
      <c r="L121" s="146"/>
      <c r="M121" s="129"/>
      <c r="N121" s="58"/>
      <c r="O121" s="135"/>
      <c r="P121" s="135"/>
    </row>
    <row r="122" spans="3:16" x14ac:dyDescent="0.45">
      <c r="C122" s="50" t="s">
        <v>183</v>
      </c>
      <c r="D122" s="51" t="s">
        <v>178</v>
      </c>
      <c r="E122" s="51"/>
      <c r="F122" s="51"/>
      <c r="G122" s="21"/>
      <c r="H122" s="128">
        <f>SUM(G123:G124)</f>
        <v>190</v>
      </c>
      <c r="I122" s="143">
        <f>E123/$H$7</f>
        <v>1.8181818181818181</v>
      </c>
      <c r="J122" s="128">
        <f>$D$7*I122</f>
        <v>81.818181818181813</v>
      </c>
      <c r="K122" s="128">
        <f>SUM(G125:G126)</f>
        <v>190</v>
      </c>
      <c r="L122" s="145">
        <f>E125/$H$7</f>
        <v>1.8181818181818181</v>
      </c>
      <c r="M122" s="128">
        <f>L122*$D$7</f>
        <v>81.818181818181813</v>
      </c>
      <c r="N122" s="57"/>
      <c r="O122" s="134">
        <f>SUM(H122+J122)</f>
        <v>271.81818181818181</v>
      </c>
      <c r="P122" s="134">
        <f>SUM(K122+M122)</f>
        <v>271.81818181818181</v>
      </c>
    </row>
    <row r="123" spans="3:16" x14ac:dyDescent="0.45">
      <c r="C123" s="61" t="s">
        <v>184</v>
      </c>
      <c r="D123" s="61" t="s">
        <v>185</v>
      </c>
      <c r="E123" s="61">
        <v>200</v>
      </c>
      <c r="F123" s="62">
        <v>0.35</v>
      </c>
      <c r="G123" s="63">
        <f t="shared" ref="G123:G126" si="34">F123*E123</f>
        <v>70</v>
      </c>
      <c r="H123" s="129"/>
      <c r="I123" s="144"/>
      <c r="J123" s="129"/>
      <c r="K123" s="129"/>
      <c r="L123" s="146"/>
      <c r="M123" s="129"/>
      <c r="N123" s="58"/>
      <c r="O123" s="135"/>
      <c r="P123" s="135"/>
    </row>
    <row r="124" spans="3:16" x14ac:dyDescent="0.45">
      <c r="C124" s="61" t="s">
        <v>186</v>
      </c>
      <c r="D124" s="61" t="s">
        <v>187</v>
      </c>
      <c r="E124" s="61">
        <v>24</v>
      </c>
      <c r="F124" s="62">
        <v>5</v>
      </c>
      <c r="G124" s="63">
        <f t="shared" si="34"/>
        <v>120</v>
      </c>
      <c r="H124" s="129"/>
      <c r="I124" s="144"/>
      <c r="J124" s="129"/>
      <c r="K124" s="129"/>
      <c r="L124" s="146"/>
      <c r="M124" s="129"/>
      <c r="N124" s="58"/>
      <c r="O124" s="135"/>
      <c r="P124" s="135"/>
    </row>
    <row r="125" spans="3:16" x14ac:dyDescent="0.45">
      <c r="C125" s="64" t="s">
        <v>188</v>
      </c>
      <c r="D125" s="64" t="s">
        <v>185</v>
      </c>
      <c r="E125" s="64">
        <v>200</v>
      </c>
      <c r="F125" s="65">
        <v>0.35</v>
      </c>
      <c r="G125" s="66">
        <f t="shared" si="34"/>
        <v>70</v>
      </c>
      <c r="H125" s="129"/>
      <c r="I125" s="144"/>
      <c r="J125" s="129"/>
      <c r="K125" s="129"/>
      <c r="L125" s="146"/>
      <c r="M125" s="129"/>
      <c r="N125" s="58"/>
      <c r="O125" s="135"/>
      <c r="P125" s="135"/>
    </row>
    <row r="126" spans="3:16" x14ac:dyDescent="0.45">
      <c r="C126" s="64" t="s">
        <v>186</v>
      </c>
      <c r="D126" s="64" t="s">
        <v>187</v>
      </c>
      <c r="E126" s="64">
        <v>24</v>
      </c>
      <c r="F126" s="65">
        <v>5</v>
      </c>
      <c r="G126" s="66">
        <f t="shared" si="34"/>
        <v>120</v>
      </c>
      <c r="H126" s="129"/>
      <c r="I126" s="144"/>
      <c r="J126" s="129"/>
      <c r="K126" s="129"/>
      <c r="L126" s="146"/>
      <c r="M126" s="129"/>
      <c r="N126" s="58"/>
      <c r="O126" s="135"/>
      <c r="P126" s="135"/>
    </row>
    <row r="127" spans="3:16" x14ac:dyDescent="0.45">
      <c r="C127" s="50" t="s">
        <v>109</v>
      </c>
      <c r="D127" s="51" t="s">
        <v>178</v>
      </c>
      <c r="E127" s="51"/>
      <c r="F127" s="51"/>
      <c r="G127" s="21"/>
      <c r="H127" s="128">
        <f>SUM(G128:G128)</f>
        <v>251.75</v>
      </c>
      <c r="I127" s="152">
        <f>E128/$H$6</f>
        <v>6.333333333333333</v>
      </c>
      <c r="J127" s="151">
        <f>$D$7*I127</f>
        <v>285</v>
      </c>
      <c r="K127" s="128">
        <v>0</v>
      </c>
      <c r="L127" s="132">
        <v>0</v>
      </c>
      <c r="M127" s="128">
        <v>0</v>
      </c>
      <c r="N127" s="57"/>
      <c r="O127" s="134">
        <f>SUM(H127+J127)</f>
        <v>536.75</v>
      </c>
      <c r="P127" s="134">
        <f>SUM(K127+M127)</f>
        <v>0</v>
      </c>
    </row>
    <row r="128" spans="3:16" x14ac:dyDescent="0.45">
      <c r="C128" s="61" t="s">
        <v>195</v>
      </c>
      <c r="D128" s="61" t="s">
        <v>198</v>
      </c>
      <c r="E128" s="61">
        <v>95</v>
      </c>
      <c r="F128" s="62">
        <v>2.65</v>
      </c>
      <c r="G128" s="63">
        <f t="shared" ref="G128" si="35">F128*E128</f>
        <v>251.75</v>
      </c>
      <c r="H128" s="129"/>
      <c r="I128" s="153"/>
      <c r="J128" s="129"/>
      <c r="K128" s="129"/>
      <c r="L128" s="133"/>
      <c r="M128" s="129"/>
      <c r="N128" s="58"/>
      <c r="O128" s="135"/>
      <c r="P128" s="135"/>
    </row>
    <row r="129" spans="3:16" x14ac:dyDescent="0.45">
      <c r="C129" s="50" t="s">
        <v>191</v>
      </c>
      <c r="D129" s="51" t="s">
        <v>178</v>
      </c>
      <c r="E129" s="51"/>
      <c r="F129" s="51"/>
      <c r="G129" s="21"/>
      <c r="H129" s="128">
        <v>0</v>
      </c>
      <c r="I129" s="130">
        <v>0</v>
      </c>
      <c r="J129" s="128">
        <v>0</v>
      </c>
      <c r="K129" s="128">
        <f>SUM(G130:G130)</f>
        <v>1650</v>
      </c>
      <c r="L129" s="132">
        <v>0.25</v>
      </c>
      <c r="M129" s="128">
        <f>D57*L129</f>
        <v>0</v>
      </c>
      <c r="N129" s="57"/>
      <c r="O129" s="134">
        <f>SUM(H129+J129)</f>
        <v>0</v>
      </c>
      <c r="P129" s="134">
        <f>SUM(K129+M129)</f>
        <v>1650</v>
      </c>
    </row>
    <row r="130" spans="3:16" x14ac:dyDescent="0.45">
      <c r="C130" s="64" t="s">
        <v>192</v>
      </c>
      <c r="D130" s="64" t="s">
        <v>193</v>
      </c>
      <c r="E130" s="64">
        <v>1</v>
      </c>
      <c r="F130" s="65">
        <v>1650</v>
      </c>
      <c r="G130" s="66">
        <f t="shared" ref="G130" si="36">F130*E130</f>
        <v>1650</v>
      </c>
      <c r="H130" s="147"/>
      <c r="I130" s="148"/>
      <c r="J130" s="147"/>
      <c r="K130" s="147"/>
      <c r="L130" s="149"/>
      <c r="M130" s="147"/>
      <c r="N130" s="59"/>
      <c r="O130" s="150"/>
      <c r="P130" s="150"/>
    </row>
    <row r="131" spans="3:16" x14ac:dyDescent="0.45">
      <c r="C131" s="142" t="s">
        <v>133</v>
      </c>
      <c r="D131" s="142"/>
      <c r="E131" s="142"/>
      <c r="F131" s="142"/>
      <c r="G131" s="142"/>
      <c r="H131" s="67">
        <f>SUM(H109:H130)</f>
        <v>1532.67</v>
      </c>
      <c r="I131" s="68">
        <f t="shared" ref="I131" si="37">SUM(I109:I130)</f>
        <v>46.984848484848492</v>
      </c>
      <c r="J131" s="67">
        <f t="shared" ref="J131" si="38">SUM(J109:J130)</f>
        <v>2757.818181818182</v>
      </c>
      <c r="K131" s="67">
        <f t="shared" ref="K131" si="39">SUM(K109:K130)</f>
        <v>2367</v>
      </c>
      <c r="L131" s="68">
        <f t="shared" ref="L131" si="40">SUM(L109:L130)</f>
        <v>11.068181818181818</v>
      </c>
      <c r="M131" s="67">
        <f t="shared" ref="M131" si="41">SUM(M109:M130)</f>
        <v>891.81818181818176</v>
      </c>
      <c r="N131" s="67">
        <f t="shared" ref="N131" si="42">SUM(N109:N130)</f>
        <v>0</v>
      </c>
      <c r="O131" s="67">
        <f t="shared" ref="O131" si="43">SUM(O109:O130)</f>
        <v>4290.4881818181821</v>
      </c>
      <c r="P131" s="67">
        <f t="shared" ref="P131" si="44">SUM(P109:P130)</f>
        <v>3258.818181818182</v>
      </c>
    </row>
    <row r="132" spans="3:16" ht="14.65" thickBot="1" x14ac:dyDescent="0.5"/>
    <row r="133" spans="3:16" x14ac:dyDescent="0.45">
      <c r="C133" s="136" t="s">
        <v>199</v>
      </c>
      <c r="D133" s="136"/>
      <c r="E133" s="136"/>
      <c r="F133" s="136"/>
      <c r="G133" s="137"/>
      <c r="H133" s="60" t="s">
        <v>121</v>
      </c>
      <c r="I133" s="60" t="s">
        <v>122</v>
      </c>
      <c r="J133" s="60" t="s">
        <v>123</v>
      </c>
      <c r="K133" s="48" t="s">
        <v>124</v>
      </c>
      <c r="L133" s="48" t="s">
        <v>125</v>
      </c>
      <c r="M133" s="48" t="s">
        <v>126</v>
      </c>
      <c r="N133" s="48"/>
      <c r="O133" s="60" t="s">
        <v>127</v>
      </c>
      <c r="P133" s="49" t="s">
        <v>128</v>
      </c>
    </row>
    <row r="134" spans="3:16" x14ac:dyDescent="0.45">
      <c r="C134" s="23" t="s">
        <v>170</v>
      </c>
      <c r="D134" s="21" t="s">
        <v>171</v>
      </c>
      <c r="E134" s="51"/>
      <c r="F134" s="51"/>
      <c r="G134" s="21"/>
      <c r="H134" s="140">
        <f>SUM(G135:G135)</f>
        <v>675</v>
      </c>
      <c r="I134" s="130">
        <v>70</v>
      </c>
      <c r="J134" s="140">
        <f>I134*$D$7</f>
        <v>3150</v>
      </c>
      <c r="K134" s="140">
        <f>H134</f>
        <v>675</v>
      </c>
      <c r="L134" s="130">
        <v>6</v>
      </c>
      <c r="M134" s="140">
        <f>J134</f>
        <v>3150</v>
      </c>
      <c r="N134" s="55"/>
      <c r="O134" s="138">
        <f>SUM(H134+J134)</f>
        <v>3825</v>
      </c>
      <c r="P134" s="138">
        <f>SUM(K134+M134)</f>
        <v>3825</v>
      </c>
    </row>
    <row r="135" spans="3:16" x14ac:dyDescent="0.45">
      <c r="C135" s="52" t="s">
        <v>172</v>
      </c>
      <c r="D135" s="52" t="s">
        <v>159</v>
      </c>
      <c r="E135" s="52">
        <v>150</v>
      </c>
      <c r="F135" s="53">
        <v>4.5</v>
      </c>
      <c r="G135" s="54">
        <f>F135*E135</f>
        <v>675</v>
      </c>
      <c r="H135" s="141"/>
      <c r="I135" s="131"/>
      <c r="J135" s="141"/>
      <c r="K135" s="141"/>
      <c r="L135" s="131"/>
      <c r="M135" s="141"/>
      <c r="N135" s="56"/>
      <c r="O135" s="139"/>
      <c r="P135" s="139"/>
    </row>
    <row r="136" spans="3:16" x14ac:dyDescent="0.45">
      <c r="C136" s="22" t="s">
        <v>106</v>
      </c>
      <c r="D136" s="21" t="s">
        <v>145</v>
      </c>
      <c r="E136" s="51"/>
      <c r="F136" s="51"/>
      <c r="G136" s="21"/>
      <c r="H136" s="128">
        <f>SUM(G137:G139)</f>
        <v>1855.25</v>
      </c>
      <c r="I136" s="152">
        <f>E137/$H$5</f>
        <v>54.166666666666664</v>
      </c>
      <c r="J136" s="151">
        <f>I136*$D$6</f>
        <v>3900</v>
      </c>
      <c r="K136" s="128">
        <v>0</v>
      </c>
      <c r="L136" s="132">
        <v>0</v>
      </c>
      <c r="M136" s="128">
        <f>L136*$D$7</f>
        <v>0</v>
      </c>
      <c r="N136" s="57"/>
      <c r="O136" s="134">
        <f>SUM(H136+J136)</f>
        <v>5755.25</v>
      </c>
      <c r="P136" s="134">
        <f>SUM(K136+M136)</f>
        <v>0</v>
      </c>
    </row>
    <row r="137" spans="3:16" x14ac:dyDescent="0.45">
      <c r="C137" s="61" t="s">
        <v>173</v>
      </c>
      <c r="D137" s="61" t="s">
        <v>174</v>
      </c>
      <c r="E137" s="61">
        <v>325</v>
      </c>
      <c r="F137" s="62">
        <v>1.77</v>
      </c>
      <c r="G137" s="63">
        <f t="shared" ref="G137:G139" si="45">F137*E137</f>
        <v>575.25</v>
      </c>
      <c r="H137" s="129"/>
      <c r="I137" s="153"/>
      <c r="J137" s="129"/>
      <c r="K137" s="129"/>
      <c r="L137" s="133"/>
      <c r="M137" s="129"/>
      <c r="N137" s="58"/>
      <c r="O137" s="135"/>
      <c r="P137" s="135"/>
    </row>
    <row r="138" spans="3:16" x14ac:dyDescent="0.45">
      <c r="C138" s="61" t="s">
        <v>150</v>
      </c>
      <c r="D138" s="61" t="s">
        <v>175</v>
      </c>
      <c r="E138" s="61">
        <v>35</v>
      </c>
      <c r="F138" s="62">
        <v>18</v>
      </c>
      <c r="G138" s="63">
        <f t="shared" si="45"/>
        <v>630</v>
      </c>
      <c r="H138" s="129"/>
      <c r="I138" s="153"/>
      <c r="J138" s="129"/>
      <c r="K138" s="129"/>
      <c r="L138" s="133"/>
      <c r="M138" s="129"/>
      <c r="N138" s="58"/>
      <c r="O138" s="135"/>
      <c r="P138" s="135"/>
    </row>
    <row r="139" spans="3:16" x14ac:dyDescent="0.45">
      <c r="C139" s="61" t="s">
        <v>151</v>
      </c>
      <c r="D139" s="61" t="s">
        <v>176</v>
      </c>
      <c r="E139" s="61">
        <v>1</v>
      </c>
      <c r="F139" s="62">
        <v>650</v>
      </c>
      <c r="G139" s="63">
        <f t="shared" si="45"/>
        <v>650</v>
      </c>
      <c r="H139" s="129"/>
      <c r="I139" s="153"/>
      <c r="J139" s="129"/>
      <c r="K139" s="129"/>
      <c r="L139" s="133"/>
      <c r="M139" s="129"/>
      <c r="N139" s="58"/>
      <c r="O139" s="135"/>
      <c r="P139" s="135"/>
    </row>
    <row r="140" spans="3:16" x14ac:dyDescent="0.45">
      <c r="C140" s="50" t="s">
        <v>177</v>
      </c>
      <c r="D140" s="51" t="s">
        <v>178</v>
      </c>
      <c r="E140" s="51"/>
      <c r="F140" s="51"/>
      <c r="G140" s="21"/>
      <c r="H140" s="128">
        <f>SUM(G141:G144)</f>
        <v>481.77</v>
      </c>
      <c r="I140" s="130">
        <v>8</v>
      </c>
      <c r="J140" s="128">
        <f>I140*$D$6</f>
        <v>576</v>
      </c>
      <c r="K140" s="128">
        <v>0</v>
      </c>
      <c r="L140" s="132">
        <v>0</v>
      </c>
      <c r="M140" s="128">
        <v>0</v>
      </c>
      <c r="N140" s="57"/>
      <c r="O140" s="134">
        <f>SUM(H140+J140)</f>
        <v>1057.77</v>
      </c>
      <c r="P140" s="134">
        <f>SUM(K140+M140)</f>
        <v>0</v>
      </c>
    </row>
    <row r="141" spans="3:16" x14ac:dyDescent="0.45">
      <c r="C141" s="61" t="s">
        <v>179</v>
      </c>
      <c r="D141" s="61" t="s">
        <v>149</v>
      </c>
      <c r="E141" s="61">
        <v>1</v>
      </c>
      <c r="F141" s="62">
        <v>355</v>
      </c>
      <c r="G141" s="63">
        <f t="shared" ref="G141:G144" si="46">F141*E141</f>
        <v>355</v>
      </c>
      <c r="H141" s="129"/>
      <c r="I141" s="131"/>
      <c r="J141" s="129"/>
      <c r="K141" s="129"/>
      <c r="L141" s="133"/>
      <c r="M141" s="129"/>
      <c r="N141" s="58"/>
      <c r="O141" s="135"/>
      <c r="P141" s="135"/>
    </row>
    <row r="142" spans="3:16" x14ac:dyDescent="0.45">
      <c r="C142" s="61" t="s">
        <v>180</v>
      </c>
      <c r="D142" s="61" t="s">
        <v>149</v>
      </c>
      <c r="E142" s="61">
        <v>2</v>
      </c>
      <c r="F142" s="62">
        <v>45</v>
      </c>
      <c r="G142" s="63">
        <f t="shared" si="46"/>
        <v>90</v>
      </c>
      <c r="H142" s="129"/>
      <c r="I142" s="131"/>
      <c r="J142" s="129"/>
      <c r="K142" s="129"/>
      <c r="L142" s="133"/>
      <c r="M142" s="129"/>
      <c r="N142" s="58"/>
      <c r="O142" s="135"/>
      <c r="P142" s="135"/>
    </row>
    <row r="143" spans="3:16" x14ac:dyDescent="0.45">
      <c r="C143" s="61" t="s">
        <v>146</v>
      </c>
      <c r="D143" s="61" t="s">
        <v>149</v>
      </c>
      <c r="E143" s="61">
        <v>1</v>
      </c>
      <c r="F143" s="62">
        <v>1.77</v>
      </c>
      <c r="G143" s="63">
        <f t="shared" si="46"/>
        <v>1.77</v>
      </c>
      <c r="H143" s="129"/>
      <c r="I143" s="131"/>
      <c r="J143" s="129"/>
      <c r="K143" s="129"/>
      <c r="L143" s="133"/>
      <c r="M143" s="129"/>
      <c r="N143" s="58"/>
      <c r="O143" s="135"/>
      <c r="P143" s="135"/>
    </row>
    <row r="144" spans="3:16" x14ac:dyDescent="0.45">
      <c r="C144" s="61" t="s">
        <v>148</v>
      </c>
      <c r="D144" s="61" t="s">
        <v>149</v>
      </c>
      <c r="E144" s="61">
        <v>1</v>
      </c>
      <c r="F144" s="62">
        <v>35</v>
      </c>
      <c r="G144" s="63">
        <f t="shared" si="46"/>
        <v>35</v>
      </c>
      <c r="H144" s="129"/>
      <c r="I144" s="131"/>
      <c r="J144" s="129"/>
      <c r="K144" s="129"/>
      <c r="L144" s="133"/>
      <c r="M144" s="129"/>
      <c r="N144" s="58"/>
      <c r="O144" s="135"/>
      <c r="P144" s="135"/>
    </row>
    <row r="145" spans="3:16" x14ac:dyDescent="0.45">
      <c r="C145" s="50" t="s">
        <v>181</v>
      </c>
      <c r="D145" s="51" t="s">
        <v>178</v>
      </c>
      <c r="E145" s="51"/>
      <c r="F145" s="51"/>
      <c r="G145" s="21"/>
      <c r="H145" s="128">
        <v>0</v>
      </c>
      <c r="I145" s="130">
        <v>0</v>
      </c>
      <c r="J145" s="128">
        <v>0</v>
      </c>
      <c r="K145" s="128">
        <f>SUM(G146:G146)</f>
        <v>1764</v>
      </c>
      <c r="L145" s="145">
        <v>3</v>
      </c>
      <c r="M145" s="128">
        <f>L145*$D$7</f>
        <v>135</v>
      </c>
      <c r="N145" s="57"/>
      <c r="O145" s="134">
        <f>SUM(H145+J145)</f>
        <v>0</v>
      </c>
      <c r="P145" s="134">
        <f>SUM(K145+M145)</f>
        <v>1899</v>
      </c>
    </row>
    <row r="146" spans="3:16" x14ac:dyDescent="0.45">
      <c r="C146" s="64" t="s">
        <v>182</v>
      </c>
      <c r="D146" s="64" t="s">
        <v>159</v>
      </c>
      <c r="E146" s="64">
        <v>900</v>
      </c>
      <c r="F146" s="65">
        <v>1.96</v>
      </c>
      <c r="G146" s="66">
        <f t="shared" ref="G146" si="47">F146*E146</f>
        <v>1764</v>
      </c>
      <c r="H146" s="129"/>
      <c r="I146" s="131"/>
      <c r="J146" s="129"/>
      <c r="K146" s="129"/>
      <c r="L146" s="146"/>
      <c r="M146" s="129"/>
      <c r="N146" s="58"/>
      <c r="O146" s="135"/>
      <c r="P146" s="135"/>
    </row>
    <row r="147" spans="3:16" x14ac:dyDescent="0.45">
      <c r="C147" s="50" t="s">
        <v>183</v>
      </c>
      <c r="D147" s="51" t="s">
        <v>178</v>
      </c>
      <c r="E147" s="51"/>
      <c r="F147" s="51"/>
      <c r="G147" s="21"/>
      <c r="H147" s="128">
        <f>SUM(G148:G149)</f>
        <v>435</v>
      </c>
      <c r="I147" s="143">
        <f>E148/$H$7</f>
        <v>8.1818181818181817</v>
      </c>
      <c r="J147" s="128">
        <f>$D$7*I147</f>
        <v>368.18181818181819</v>
      </c>
      <c r="K147" s="128">
        <f>SUM(G150:G151)</f>
        <v>435</v>
      </c>
      <c r="L147" s="145">
        <f>E150/$H$7</f>
        <v>8.1818181818181817</v>
      </c>
      <c r="M147" s="128">
        <f>L147*$D$7</f>
        <v>368.18181818181819</v>
      </c>
      <c r="N147" s="57"/>
      <c r="O147" s="134">
        <f>SUM(H147+J147)</f>
        <v>803.18181818181824</v>
      </c>
      <c r="P147" s="134">
        <f>SUM(K147+M147)</f>
        <v>803.18181818181824</v>
      </c>
    </row>
    <row r="148" spans="3:16" x14ac:dyDescent="0.45">
      <c r="C148" s="61" t="s">
        <v>184</v>
      </c>
      <c r="D148" s="61" t="s">
        <v>185</v>
      </c>
      <c r="E148" s="61">
        <v>900</v>
      </c>
      <c r="F148" s="62">
        <v>0.35</v>
      </c>
      <c r="G148" s="63">
        <f t="shared" ref="G148:G151" si="48">F148*E148</f>
        <v>315</v>
      </c>
      <c r="H148" s="129"/>
      <c r="I148" s="144"/>
      <c r="J148" s="129"/>
      <c r="K148" s="129"/>
      <c r="L148" s="146"/>
      <c r="M148" s="129"/>
      <c r="N148" s="58"/>
      <c r="O148" s="135"/>
      <c r="P148" s="135"/>
    </row>
    <row r="149" spans="3:16" x14ac:dyDescent="0.45">
      <c r="C149" s="61" t="s">
        <v>186</v>
      </c>
      <c r="D149" s="61" t="s">
        <v>187</v>
      </c>
      <c r="E149" s="61">
        <v>24</v>
      </c>
      <c r="F149" s="62">
        <v>5</v>
      </c>
      <c r="G149" s="63">
        <f t="shared" si="48"/>
        <v>120</v>
      </c>
      <c r="H149" s="129"/>
      <c r="I149" s="144"/>
      <c r="J149" s="129"/>
      <c r="K149" s="129"/>
      <c r="L149" s="146"/>
      <c r="M149" s="129"/>
      <c r="N149" s="58"/>
      <c r="O149" s="135"/>
      <c r="P149" s="135"/>
    </row>
    <row r="150" spans="3:16" x14ac:dyDescent="0.45">
      <c r="C150" s="64" t="s">
        <v>188</v>
      </c>
      <c r="D150" s="64" t="s">
        <v>185</v>
      </c>
      <c r="E150" s="64">
        <v>900</v>
      </c>
      <c r="F150" s="65">
        <v>0.35</v>
      </c>
      <c r="G150" s="66">
        <f t="shared" si="48"/>
        <v>315</v>
      </c>
      <c r="H150" s="129"/>
      <c r="I150" s="144"/>
      <c r="J150" s="129"/>
      <c r="K150" s="129"/>
      <c r="L150" s="146"/>
      <c r="M150" s="129"/>
      <c r="N150" s="58"/>
      <c r="O150" s="135"/>
      <c r="P150" s="135"/>
    </row>
    <row r="151" spans="3:16" x14ac:dyDescent="0.45">
      <c r="C151" s="64" t="s">
        <v>186</v>
      </c>
      <c r="D151" s="64" t="s">
        <v>187</v>
      </c>
      <c r="E151" s="64">
        <v>24</v>
      </c>
      <c r="F151" s="65">
        <v>5</v>
      </c>
      <c r="G151" s="66">
        <f t="shared" si="48"/>
        <v>120</v>
      </c>
      <c r="H151" s="129"/>
      <c r="I151" s="144"/>
      <c r="J151" s="129"/>
      <c r="K151" s="129"/>
      <c r="L151" s="146"/>
      <c r="M151" s="129"/>
      <c r="N151" s="58"/>
      <c r="O151" s="135"/>
      <c r="P151" s="135"/>
    </row>
    <row r="152" spans="3:16" x14ac:dyDescent="0.45">
      <c r="C152" s="50" t="s">
        <v>109</v>
      </c>
      <c r="D152" s="51" t="s">
        <v>178</v>
      </c>
      <c r="E152" s="51"/>
      <c r="F152" s="51"/>
      <c r="G152" s="21"/>
      <c r="H152" s="128">
        <f>SUM(G153:G153)</f>
        <v>1332.4999999999998</v>
      </c>
      <c r="I152" s="152">
        <f>E153/$H$6</f>
        <v>21.666666666666668</v>
      </c>
      <c r="J152" s="151">
        <f>$D$7*I152</f>
        <v>975</v>
      </c>
      <c r="K152" s="128">
        <v>0</v>
      </c>
      <c r="L152" s="132">
        <v>0</v>
      </c>
      <c r="M152" s="128">
        <v>0</v>
      </c>
      <c r="N152" s="57"/>
      <c r="O152" s="134">
        <f>SUM(H152+J152)</f>
        <v>2307.5</v>
      </c>
      <c r="P152" s="134">
        <f>SUM(K152+M152)</f>
        <v>0</v>
      </c>
    </row>
    <row r="153" spans="3:16" x14ac:dyDescent="0.45">
      <c r="C153" s="61" t="s">
        <v>195</v>
      </c>
      <c r="D153" s="61" t="s">
        <v>200</v>
      </c>
      <c r="E153" s="61">
        <v>325</v>
      </c>
      <c r="F153" s="62">
        <v>4.0999999999999996</v>
      </c>
      <c r="G153" s="63">
        <f t="shared" ref="G153" si="49">F153*E153</f>
        <v>1332.4999999999998</v>
      </c>
      <c r="H153" s="129"/>
      <c r="I153" s="153"/>
      <c r="J153" s="129"/>
      <c r="K153" s="129"/>
      <c r="L153" s="133"/>
      <c r="M153" s="129"/>
      <c r="N153" s="58"/>
      <c r="O153" s="135"/>
      <c r="P153" s="135"/>
    </row>
    <row r="154" spans="3:16" x14ac:dyDescent="0.45">
      <c r="C154" s="50" t="s">
        <v>191</v>
      </c>
      <c r="D154" s="51" t="s">
        <v>178</v>
      </c>
      <c r="E154" s="51"/>
      <c r="F154" s="51"/>
      <c r="G154" s="21"/>
      <c r="H154" s="128">
        <v>0</v>
      </c>
      <c r="I154" s="130">
        <v>0</v>
      </c>
      <c r="J154" s="128">
        <v>0</v>
      </c>
      <c r="K154" s="128">
        <f>SUM(G155:G155)</f>
        <v>1650</v>
      </c>
      <c r="L154" s="132">
        <v>0.25</v>
      </c>
      <c r="M154" s="128">
        <f>D82*L154</f>
        <v>0</v>
      </c>
      <c r="N154" s="57"/>
      <c r="O154" s="134">
        <f>SUM(H154+J154)</f>
        <v>0</v>
      </c>
      <c r="P154" s="134">
        <f>SUM(K154+M154)</f>
        <v>1650</v>
      </c>
    </row>
    <row r="155" spans="3:16" x14ac:dyDescent="0.45">
      <c r="C155" s="64" t="s">
        <v>192</v>
      </c>
      <c r="D155" s="64" t="s">
        <v>193</v>
      </c>
      <c r="E155" s="64">
        <v>1</v>
      </c>
      <c r="F155" s="65">
        <v>1650</v>
      </c>
      <c r="G155" s="66">
        <f t="shared" ref="G155" si="50">F155*E155</f>
        <v>1650</v>
      </c>
      <c r="H155" s="147"/>
      <c r="I155" s="148"/>
      <c r="J155" s="147"/>
      <c r="K155" s="147"/>
      <c r="L155" s="149"/>
      <c r="M155" s="147"/>
      <c r="N155" s="59"/>
      <c r="O155" s="150"/>
      <c r="P155" s="150"/>
    </row>
    <row r="156" spans="3:16" x14ac:dyDescent="0.45">
      <c r="C156" s="142" t="s">
        <v>133</v>
      </c>
      <c r="D156" s="142"/>
      <c r="E156" s="142"/>
      <c r="F156" s="142"/>
      <c r="G156" s="142"/>
      <c r="H156" s="67">
        <f>SUM(H134:H155)</f>
        <v>4779.5199999999995</v>
      </c>
      <c r="I156" s="68">
        <f t="shared" ref="I156" si="51">SUM(I134:I155)</f>
        <v>162.0151515151515</v>
      </c>
      <c r="J156" s="67">
        <f t="shared" ref="J156" si="52">SUM(J134:J155)</f>
        <v>8969.181818181818</v>
      </c>
      <c r="K156" s="67">
        <f t="shared" ref="K156" si="53">SUM(K134:K155)</f>
        <v>4524</v>
      </c>
      <c r="L156" s="68">
        <f t="shared" ref="L156" si="54">SUM(L134:L155)</f>
        <v>17.43181818181818</v>
      </c>
      <c r="M156" s="67">
        <f t="shared" ref="M156" si="55">SUM(M134:M155)</f>
        <v>3653.181818181818</v>
      </c>
      <c r="N156" s="67">
        <f t="shared" ref="N156" si="56">SUM(N134:N155)</f>
        <v>0</v>
      </c>
      <c r="O156" s="67">
        <f t="shared" ref="O156" si="57">SUM(O134:O155)</f>
        <v>13748.701818181818</v>
      </c>
      <c r="P156" s="67">
        <f t="shared" ref="P156" si="58">SUM(P134:P155)</f>
        <v>8177.181818181818</v>
      </c>
    </row>
    <row r="157" spans="3:16" ht="14.65" thickBot="1" x14ac:dyDescent="0.5"/>
    <row r="158" spans="3:16" x14ac:dyDescent="0.45">
      <c r="C158" s="136" t="s">
        <v>201</v>
      </c>
      <c r="D158" s="136"/>
      <c r="E158" s="136"/>
      <c r="F158" s="136"/>
      <c r="G158" s="137"/>
      <c r="H158" s="60" t="s">
        <v>121</v>
      </c>
      <c r="I158" s="60" t="s">
        <v>122</v>
      </c>
      <c r="J158" s="60" t="s">
        <v>123</v>
      </c>
      <c r="K158" s="48" t="s">
        <v>124</v>
      </c>
      <c r="L158" s="48" t="s">
        <v>125</v>
      </c>
      <c r="M158" s="48" t="s">
        <v>126</v>
      </c>
      <c r="N158" s="48"/>
      <c r="O158" s="60" t="s">
        <v>127</v>
      </c>
      <c r="P158" s="49" t="s">
        <v>128</v>
      </c>
    </row>
    <row r="159" spans="3:16" x14ac:dyDescent="0.45">
      <c r="C159" s="23" t="s">
        <v>170</v>
      </c>
      <c r="D159" s="21" t="s">
        <v>171</v>
      </c>
      <c r="E159" s="51"/>
      <c r="F159" s="51"/>
      <c r="G159" s="21"/>
      <c r="H159" s="140">
        <f>SUM(G160:G160)</f>
        <v>765</v>
      </c>
      <c r="I159" s="130">
        <v>85</v>
      </c>
      <c r="J159" s="140">
        <f>I159*$D$7</f>
        <v>3825</v>
      </c>
      <c r="K159" s="140">
        <f>H159</f>
        <v>765</v>
      </c>
      <c r="L159" s="130">
        <v>6</v>
      </c>
      <c r="M159" s="140">
        <f>J159</f>
        <v>3825</v>
      </c>
      <c r="N159" s="55"/>
      <c r="O159" s="138">
        <f>SUM(H159+J159)</f>
        <v>4590</v>
      </c>
      <c r="P159" s="138">
        <f>SUM(K159+M159)</f>
        <v>4590</v>
      </c>
    </row>
    <row r="160" spans="3:16" x14ac:dyDescent="0.45">
      <c r="C160" s="52" t="s">
        <v>172</v>
      </c>
      <c r="D160" s="52" t="s">
        <v>159</v>
      </c>
      <c r="E160" s="52">
        <v>170</v>
      </c>
      <c r="F160" s="53">
        <v>4.5</v>
      </c>
      <c r="G160" s="54">
        <f>F160*E160</f>
        <v>765</v>
      </c>
      <c r="H160" s="141"/>
      <c r="I160" s="131"/>
      <c r="J160" s="141"/>
      <c r="K160" s="141"/>
      <c r="L160" s="131"/>
      <c r="M160" s="141"/>
      <c r="N160" s="56"/>
      <c r="O160" s="139"/>
      <c r="P160" s="139"/>
    </row>
    <row r="161" spans="3:16" x14ac:dyDescent="0.45">
      <c r="C161" s="22" t="s">
        <v>106</v>
      </c>
      <c r="D161" s="21" t="s">
        <v>145</v>
      </c>
      <c r="E161" s="51"/>
      <c r="F161" s="51"/>
      <c r="G161" s="21"/>
      <c r="H161" s="128">
        <f>SUM(G162:G164)</f>
        <v>4806</v>
      </c>
      <c r="I161" s="152">
        <f>E162/$H$5</f>
        <v>100</v>
      </c>
      <c r="J161" s="151">
        <f>I161*$D$6</f>
        <v>7200</v>
      </c>
      <c r="K161" s="128">
        <v>0</v>
      </c>
      <c r="L161" s="132">
        <v>0</v>
      </c>
      <c r="M161" s="128">
        <f>L161*$D$7</f>
        <v>0</v>
      </c>
      <c r="N161" s="57"/>
      <c r="O161" s="134">
        <f>SUM(H161+J161)</f>
        <v>12006</v>
      </c>
      <c r="P161" s="134">
        <f>SUM(K161+M161)</f>
        <v>0</v>
      </c>
    </row>
    <row r="162" spans="3:16" x14ac:dyDescent="0.45">
      <c r="C162" s="61" t="s">
        <v>173</v>
      </c>
      <c r="D162" s="61" t="s">
        <v>174</v>
      </c>
      <c r="E162" s="61">
        <v>600</v>
      </c>
      <c r="F162" s="62">
        <v>1.77</v>
      </c>
      <c r="G162" s="63">
        <f t="shared" ref="G162:G164" si="59">F162*E162</f>
        <v>1062</v>
      </c>
      <c r="H162" s="129"/>
      <c r="I162" s="153"/>
      <c r="J162" s="129"/>
      <c r="K162" s="129"/>
      <c r="L162" s="133"/>
      <c r="M162" s="129"/>
      <c r="N162" s="58"/>
      <c r="O162" s="135"/>
      <c r="P162" s="135"/>
    </row>
    <row r="163" spans="3:16" x14ac:dyDescent="0.45">
      <c r="C163" s="61" t="s">
        <v>150</v>
      </c>
      <c r="D163" s="61" t="s">
        <v>175</v>
      </c>
      <c r="E163" s="61">
        <v>83</v>
      </c>
      <c r="F163" s="62">
        <v>18</v>
      </c>
      <c r="G163" s="63">
        <f t="shared" si="59"/>
        <v>1494</v>
      </c>
      <c r="H163" s="129"/>
      <c r="I163" s="153"/>
      <c r="J163" s="129"/>
      <c r="K163" s="129"/>
      <c r="L163" s="133"/>
      <c r="M163" s="129"/>
      <c r="N163" s="58"/>
      <c r="O163" s="135"/>
      <c r="P163" s="135"/>
    </row>
    <row r="164" spans="3:16" x14ac:dyDescent="0.45">
      <c r="C164" s="61" t="s">
        <v>151</v>
      </c>
      <c r="D164" s="61" t="s">
        <v>176</v>
      </c>
      <c r="E164" s="61">
        <v>1</v>
      </c>
      <c r="F164" s="62">
        <v>2250</v>
      </c>
      <c r="G164" s="63">
        <f t="shared" si="59"/>
        <v>2250</v>
      </c>
      <c r="H164" s="129"/>
      <c r="I164" s="153"/>
      <c r="J164" s="129"/>
      <c r="K164" s="129"/>
      <c r="L164" s="133"/>
      <c r="M164" s="129"/>
      <c r="N164" s="58"/>
      <c r="O164" s="135"/>
      <c r="P164" s="135"/>
    </row>
    <row r="165" spans="3:16" x14ac:dyDescent="0.45">
      <c r="C165" s="50" t="s">
        <v>177</v>
      </c>
      <c r="D165" s="51" t="s">
        <v>178</v>
      </c>
      <c r="E165" s="51"/>
      <c r="F165" s="51"/>
      <c r="G165" s="21"/>
      <c r="H165" s="128">
        <f>SUM(G166:G170)</f>
        <v>1832.77</v>
      </c>
      <c r="I165" s="130">
        <v>19</v>
      </c>
      <c r="J165" s="128">
        <f>I165*$D$6</f>
        <v>1368</v>
      </c>
      <c r="K165" s="128">
        <v>0</v>
      </c>
      <c r="L165" s="132">
        <v>0</v>
      </c>
      <c r="M165" s="128">
        <v>0</v>
      </c>
      <c r="N165" s="57"/>
      <c r="O165" s="134">
        <f>SUM(H165+J165)</f>
        <v>3200.77</v>
      </c>
      <c r="P165" s="134">
        <f>SUM(K165+M165)</f>
        <v>0</v>
      </c>
    </row>
    <row r="166" spans="3:16" x14ac:dyDescent="0.45">
      <c r="C166" s="61" t="s">
        <v>179</v>
      </c>
      <c r="D166" s="61" t="s">
        <v>149</v>
      </c>
      <c r="E166" s="61">
        <v>2</v>
      </c>
      <c r="F166" s="62">
        <v>355</v>
      </c>
      <c r="G166" s="63">
        <f t="shared" ref="G166:G170" si="60">F166*E166</f>
        <v>710</v>
      </c>
      <c r="H166" s="129"/>
      <c r="I166" s="131"/>
      <c r="J166" s="129"/>
      <c r="K166" s="129"/>
      <c r="L166" s="133"/>
      <c r="M166" s="129"/>
      <c r="N166" s="58"/>
      <c r="O166" s="135"/>
      <c r="P166" s="135"/>
    </row>
    <row r="167" spans="3:16" x14ac:dyDescent="0.45">
      <c r="C167" s="61" t="s">
        <v>180</v>
      </c>
      <c r="D167" s="61" t="s">
        <v>149</v>
      </c>
      <c r="E167" s="61">
        <v>2</v>
      </c>
      <c r="F167" s="62">
        <v>45</v>
      </c>
      <c r="G167" s="63">
        <f t="shared" si="60"/>
        <v>90</v>
      </c>
      <c r="H167" s="129"/>
      <c r="I167" s="131"/>
      <c r="J167" s="129"/>
      <c r="K167" s="129"/>
      <c r="L167" s="133"/>
      <c r="M167" s="129"/>
      <c r="N167" s="58"/>
      <c r="O167" s="135"/>
      <c r="P167" s="135"/>
    </row>
    <row r="168" spans="3:16" x14ac:dyDescent="0.45">
      <c r="C168" s="61" t="s">
        <v>146</v>
      </c>
      <c r="D168" s="61" t="s">
        <v>149</v>
      </c>
      <c r="E168" s="61">
        <v>1</v>
      </c>
      <c r="F168" s="62">
        <v>1.77</v>
      </c>
      <c r="G168" s="63">
        <f t="shared" si="60"/>
        <v>1.77</v>
      </c>
      <c r="H168" s="129"/>
      <c r="I168" s="131"/>
      <c r="J168" s="129"/>
      <c r="K168" s="129"/>
      <c r="L168" s="133"/>
      <c r="M168" s="129"/>
      <c r="N168" s="58"/>
      <c r="O168" s="135"/>
      <c r="P168" s="135"/>
    </row>
    <row r="169" spans="3:16" x14ac:dyDescent="0.45">
      <c r="C169" s="61" t="s">
        <v>202</v>
      </c>
      <c r="D169" s="61" t="s">
        <v>149</v>
      </c>
      <c r="E169" s="61">
        <v>2</v>
      </c>
      <c r="F169" s="62">
        <v>498</v>
      </c>
      <c r="G169" s="63">
        <f t="shared" si="60"/>
        <v>996</v>
      </c>
      <c r="H169" s="129"/>
      <c r="I169" s="131"/>
      <c r="J169" s="129"/>
      <c r="K169" s="129"/>
      <c r="L169" s="133"/>
      <c r="M169" s="129"/>
      <c r="N169" s="58"/>
      <c r="O169" s="135"/>
      <c r="P169" s="135"/>
    </row>
    <row r="170" spans="3:16" x14ac:dyDescent="0.45">
      <c r="C170" s="61" t="s">
        <v>148</v>
      </c>
      <c r="D170" s="61" t="s">
        <v>149</v>
      </c>
      <c r="E170" s="61">
        <v>1</v>
      </c>
      <c r="F170" s="62">
        <v>35</v>
      </c>
      <c r="G170" s="63">
        <f t="shared" si="60"/>
        <v>35</v>
      </c>
      <c r="H170" s="129"/>
      <c r="I170" s="131"/>
      <c r="J170" s="129"/>
      <c r="K170" s="129"/>
      <c r="L170" s="133"/>
      <c r="M170" s="129"/>
      <c r="N170" s="58"/>
      <c r="O170" s="135"/>
      <c r="P170" s="135"/>
    </row>
    <row r="171" spans="3:16" x14ac:dyDescent="0.45">
      <c r="C171" s="50" t="s">
        <v>181</v>
      </c>
      <c r="D171" s="51" t="s">
        <v>178</v>
      </c>
      <c r="E171" s="51"/>
      <c r="F171" s="51"/>
      <c r="G171" s="21"/>
      <c r="H171" s="128">
        <v>0</v>
      </c>
      <c r="I171" s="130">
        <v>0</v>
      </c>
      <c r="J171" s="128">
        <v>0</v>
      </c>
      <c r="K171" s="128">
        <f>SUM(G172:G172)</f>
        <v>1960</v>
      </c>
      <c r="L171" s="145">
        <v>3</v>
      </c>
      <c r="M171" s="128">
        <f>L171*$D$7</f>
        <v>135</v>
      </c>
      <c r="N171" s="57"/>
      <c r="O171" s="134">
        <f>SUM(H171+J171)</f>
        <v>0</v>
      </c>
      <c r="P171" s="134">
        <f>SUM(K171+M171)</f>
        <v>2095</v>
      </c>
    </row>
    <row r="172" spans="3:16" x14ac:dyDescent="0.45">
      <c r="C172" s="64" t="s">
        <v>182</v>
      </c>
      <c r="D172" s="64" t="s">
        <v>159</v>
      </c>
      <c r="E172" s="64">
        <v>1000</v>
      </c>
      <c r="F172" s="65">
        <v>1.96</v>
      </c>
      <c r="G172" s="66">
        <f t="shared" ref="G172" si="61">F172*E172</f>
        <v>1960</v>
      </c>
      <c r="H172" s="129"/>
      <c r="I172" s="131"/>
      <c r="J172" s="129"/>
      <c r="K172" s="129"/>
      <c r="L172" s="146"/>
      <c r="M172" s="129"/>
      <c r="N172" s="58"/>
      <c r="O172" s="135"/>
      <c r="P172" s="135"/>
    </row>
    <row r="173" spans="3:16" x14ac:dyDescent="0.45">
      <c r="C173" s="50" t="s">
        <v>183</v>
      </c>
      <c r="D173" s="51" t="s">
        <v>178</v>
      </c>
      <c r="E173" s="51"/>
      <c r="F173" s="51"/>
      <c r="G173" s="21"/>
      <c r="H173" s="128">
        <f>SUM(G174:G175)</f>
        <v>470</v>
      </c>
      <c r="I173" s="143">
        <f>E174/$H$7</f>
        <v>9.0909090909090917</v>
      </c>
      <c r="J173" s="128">
        <f>$D$7*I173</f>
        <v>409.09090909090912</v>
      </c>
      <c r="K173" s="128">
        <f>SUM(G176:G177)</f>
        <v>470</v>
      </c>
      <c r="L173" s="145">
        <f>E176/$H$7</f>
        <v>9.0909090909090917</v>
      </c>
      <c r="M173" s="128">
        <f>L173*$D$7</f>
        <v>409.09090909090912</v>
      </c>
      <c r="N173" s="57"/>
      <c r="O173" s="134">
        <f>SUM(H173+J173)</f>
        <v>879.09090909090912</v>
      </c>
      <c r="P173" s="134">
        <f>SUM(K173+M173)</f>
        <v>879.09090909090912</v>
      </c>
    </row>
    <row r="174" spans="3:16" x14ac:dyDescent="0.45">
      <c r="C174" s="61" t="s">
        <v>184</v>
      </c>
      <c r="D174" s="61" t="s">
        <v>185</v>
      </c>
      <c r="E174" s="61">
        <v>1000</v>
      </c>
      <c r="F174" s="62">
        <v>0.35</v>
      </c>
      <c r="G174" s="63">
        <f t="shared" ref="G174:G177" si="62">F174*E174</f>
        <v>350</v>
      </c>
      <c r="H174" s="129"/>
      <c r="I174" s="144"/>
      <c r="J174" s="129"/>
      <c r="K174" s="129"/>
      <c r="L174" s="146"/>
      <c r="M174" s="129"/>
      <c r="N174" s="58"/>
      <c r="O174" s="135"/>
      <c r="P174" s="135"/>
    </row>
    <row r="175" spans="3:16" x14ac:dyDescent="0.45">
      <c r="C175" s="61" t="s">
        <v>186</v>
      </c>
      <c r="D175" s="61" t="s">
        <v>187</v>
      </c>
      <c r="E175" s="61">
        <v>24</v>
      </c>
      <c r="F175" s="62">
        <v>5</v>
      </c>
      <c r="G175" s="63">
        <f t="shared" si="62"/>
        <v>120</v>
      </c>
      <c r="H175" s="129"/>
      <c r="I175" s="144"/>
      <c r="J175" s="129"/>
      <c r="K175" s="129"/>
      <c r="L175" s="146"/>
      <c r="M175" s="129"/>
      <c r="N175" s="58"/>
      <c r="O175" s="135"/>
      <c r="P175" s="135"/>
    </row>
    <row r="176" spans="3:16" x14ac:dyDescent="0.45">
      <c r="C176" s="64" t="s">
        <v>188</v>
      </c>
      <c r="D176" s="64" t="s">
        <v>185</v>
      </c>
      <c r="E176" s="64">
        <v>1000</v>
      </c>
      <c r="F176" s="65">
        <v>0.35</v>
      </c>
      <c r="G176" s="66">
        <f t="shared" si="62"/>
        <v>350</v>
      </c>
      <c r="H176" s="129"/>
      <c r="I176" s="144"/>
      <c r="J176" s="129"/>
      <c r="K176" s="129"/>
      <c r="L176" s="146"/>
      <c r="M176" s="129"/>
      <c r="N176" s="58"/>
      <c r="O176" s="135"/>
      <c r="P176" s="135"/>
    </row>
    <row r="177" spans="3:16" x14ac:dyDescent="0.45">
      <c r="C177" s="64" t="s">
        <v>186</v>
      </c>
      <c r="D177" s="64" t="s">
        <v>187</v>
      </c>
      <c r="E177" s="64">
        <v>24</v>
      </c>
      <c r="F177" s="65">
        <v>5</v>
      </c>
      <c r="G177" s="66">
        <f t="shared" si="62"/>
        <v>120</v>
      </c>
      <c r="H177" s="129"/>
      <c r="I177" s="144"/>
      <c r="J177" s="129"/>
      <c r="K177" s="129"/>
      <c r="L177" s="146"/>
      <c r="M177" s="129"/>
      <c r="N177" s="58"/>
      <c r="O177" s="135"/>
      <c r="P177" s="135"/>
    </row>
    <row r="178" spans="3:16" x14ac:dyDescent="0.45">
      <c r="C178" s="50" t="s">
        <v>109</v>
      </c>
      <c r="D178" s="51" t="s">
        <v>178</v>
      </c>
      <c r="E178" s="51"/>
      <c r="F178" s="51"/>
      <c r="G178" s="21"/>
      <c r="H178" s="128">
        <f>SUM(G179:G179)</f>
        <v>3900</v>
      </c>
      <c r="I178" s="152">
        <f>E179/$H$6</f>
        <v>40</v>
      </c>
      <c r="J178" s="151">
        <f>$D$7*I178</f>
        <v>1800</v>
      </c>
      <c r="K178" s="128">
        <v>0</v>
      </c>
      <c r="L178" s="132">
        <v>0</v>
      </c>
      <c r="M178" s="128">
        <v>0</v>
      </c>
      <c r="N178" s="57"/>
      <c r="O178" s="134">
        <f>SUM(H178+J178)</f>
        <v>5700</v>
      </c>
      <c r="P178" s="134">
        <f>SUM(K178+M178)</f>
        <v>0</v>
      </c>
    </row>
    <row r="179" spans="3:16" x14ac:dyDescent="0.45">
      <c r="C179" s="61" t="s">
        <v>195</v>
      </c>
      <c r="D179" s="61" t="s">
        <v>203</v>
      </c>
      <c r="E179" s="61">
        <v>600</v>
      </c>
      <c r="F179" s="62">
        <v>6.5</v>
      </c>
      <c r="G179" s="63">
        <f t="shared" ref="G179" si="63">F179*E179</f>
        <v>3900</v>
      </c>
      <c r="H179" s="129"/>
      <c r="I179" s="153"/>
      <c r="J179" s="129"/>
      <c r="K179" s="129"/>
      <c r="L179" s="133"/>
      <c r="M179" s="129"/>
      <c r="N179" s="58"/>
      <c r="O179" s="135"/>
      <c r="P179" s="135"/>
    </row>
    <row r="180" spans="3:16" x14ac:dyDescent="0.45">
      <c r="C180" s="50" t="s">
        <v>191</v>
      </c>
      <c r="D180" s="51" t="s">
        <v>178</v>
      </c>
      <c r="E180" s="51"/>
      <c r="F180" s="51"/>
      <c r="G180" s="21"/>
      <c r="H180" s="128">
        <v>0</v>
      </c>
      <c r="I180" s="130">
        <v>0</v>
      </c>
      <c r="J180" s="128">
        <v>0</v>
      </c>
      <c r="K180" s="128">
        <f>SUM(G181:G181)</f>
        <v>1650</v>
      </c>
      <c r="L180" s="132">
        <v>0.25</v>
      </c>
      <c r="M180" s="128">
        <f>D107*L180</f>
        <v>0</v>
      </c>
      <c r="N180" s="57"/>
      <c r="O180" s="134">
        <f>SUM(H180+J180)</f>
        <v>0</v>
      </c>
      <c r="P180" s="134">
        <f>SUM(K180+M180)</f>
        <v>1650</v>
      </c>
    </row>
    <row r="181" spans="3:16" x14ac:dyDescent="0.45">
      <c r="C181" s="64" t="s">
        <v>192</v>
      </c>
      <c r="D181" s="64" t="s">
        <v>193</v>
      </c>
      <c r="E181" s="64">
        <v>1</v>
      </c>
      <c r="F181" s="65">
        <v>1650</v>
      </c>
      <c r="G181" s="66">
        <f t="shared" ref="G181" si="64">F181*E181</f>
        <v>1650</v>
      </c>
      <c r="H181" s="147"/>
      <c r="I181" s="148"/>
      <c r="J181" s="147"/>
      <c r="K181" s="147"/>
      <c r="L181" s="149"/>
      <c r="M181" s="147"/>
      <c r="N181" s="59"/>
      <c r="O181" s="150"/>
      <c r="P181" s="150"/>
    </row>
    <row r="182" spans="3:16" x14ac:dyDescent="0.45">
      <c r="C182" s="142" t="s">
        <v>133</v>
      </c>
      <c r="D182" s="142"/>
      <c r="E182" s="142"/>
      <c r="F182" s="142"/>
      <c r="G182" s="142"/>
      <c r="H182" s="67">
        <f t="shared" ref="H182:P182" si="65">SUM(H159:H181)</f>
        <v>11773.77</v>
      </c>
      <c r="I182" s="68">
        <f t="shared" si="65"/>
        <v>253.09090909090909</v>
      </c>
      <c r="J182" s="67">
        <f t="shared" si="65"/>
        <v>14602.09090909091</v>
      </c>
      <c r="K182" s="67">
        <f t="shared" si="65"/>
        <v>4845</v>
      </c>
      <c r="L182" s="68">
        <f t="shared" si="65"/>
        <v>18.340909090909093</v>
      </c>
      <c r="M182" s="67">
        <f t="shared" si="65"/>
        <v>4369.090909090909</v>
      </c>
      <c r="N182" s="67">
        <f t="shared" si="65"/>
        <v>0</v>
      </c>
      <c r="O182" s="67">
        <f t="shared" si="65"/>
        <v>26375.860909090909</v>
      </c>
      <c r="P182" s="67">
        <f t="shared" si="65"/>
        <v>9214.0909090909081</v>
      </c>
    </row>
    <row r="183" spans="3:16" ht="14.65" thickBot="1" x14ac:dyDescent="0.5">
      <c r="C183" s="70"/>
      <c r="D183" s="70"/>
      <c r="E183" s="70"/>
      <c r="F183" s="70"/>
      <c r="G183" s="70"/>
      <c r="H183" s="71"/>
      <c r="I183" s="72"/>
      <c r="J183" s="71"/>
      <c r="K183" s="71"/>
      <c r="L183" s="72"/>
      <c r="M183" s="71"/>
      <c r="N183" s="71"/>
      <c r="O183" s="71"/>
      <c r="P183" s="71"/>
    </row>
    <row r="184" spans="3:16" x14ac:dyDescent="0.45">
      <c r="C184" s="136" t="s">
        <v>204</v>
      </c>
      <c r="D184" s="136"/>
      <c r="E184" s="136"/>
      <c r="F184" s="136"/>
      <c r="G184" s="137"/>
      <c r="H184" s="60" t="s">
        <v>121</v>
      </c>
      <c r="I184" s="60" t="s">
        <v>122</v>
      </c>
      <c r="J184" s="60" t="s">
        <v>123</v>
      </c>
      <c r="K184" s="48" t="s">
        <v>124</v>
      </c>
      <c r="L184" s="48" t="s">
        <v>125</v>
      </c>
      <c r="M184" s="48" t="s">
        <v>126</v>
      </c>
      <c r="N184" s="48"/>
      <c r="O184" s="60" t="s">
        <v>127</v>
      </c>
      <c r="P184" s="49" t="s">
        <v>128</v>
      </c>
    </row>
    <row r="185" spans="3:16" x14ac:dyDescent="0.45">
      <c r="C185" s="22" t="s">
        <v>205</v>
      </c>
      <c r="D185" s="21" t="s">
        <v>206</v>
      </c>
      <c r="E185" s="51"/>
      <c r="F185" s="51"/>
      <c r="G185" s="21"/>
      <c r="H185" s="128">
        <f>SUM(G186:G186)</f>
        <v>1000</v>
      </c>
      <c r="I185" s="130">
        <v>6</v>
      </c>
      <c r="J185" s="128">
        <f>$D$7*I185</f>
        <v>270</v>
      </c>
      <c r="K185" s="128">
        <f>SUM(G187:G187)</f>
        <v>250</v>
      </c>
      <c r="L185" s="132">
        <v>6</v>
      </c>
      <c r="M185" s="128">
        <f>L185*$D$7</f>
        <v>270</v>
      </c>
      <c r="N185" s="57"/>
      <c r="O185" s="134">
        <f>SUM(H185+J185)</f>
        <v>1270</v>
      </c>
      <c r="P185" s="134">
        <f>SUM(K185+M185)</f>
        <v>520</v>
      </c>
    </row>
    <row r="186" spans="3:16" x14ac:dyDescent="0.45">
      <c r="C186" s="61" t="s">
        <v>151</v>
      </c>
      <c r="D186" s="61" t="s">
        <v>159</v>
      </c>
      <c r="E186" s="61">
        <v>1</v>
      </c>
      <c r="F186" s="62">
        <v>1000</v>
      </c>
      <c r="G186" s="63">
        <f t="shared" ref="G186:G187" si="66">F186*E186</f>
        <v>1000</v>
      </c>
      <c r="H186" s="129"/>
      <c r="I186" s="131"/>
      <c r="J186" s="129"/>
      <c r="K186" s="129"/>
      <c r="L186" s="133"/>
      <c r="M186" s="129"/>
      <c r="N186" s="58"/>
      <c r="O186" s="135"/>
      <c r="P186" s="135"/>
    </row>
    <row r="187" spans="3:16" x14ac:dyDescent="0.45">
      <c r="C187" s="64" t="s">
        <v>151</v>
      </c>
      <c r="D187" s="64" t="s">
        <v>159</v>
      </c>
      <c r="E187" s="64">
        <v>1</v>
      </c>
      <c r="F187" s="65">
        <v>250</v>
      </c>
      <c r="G187" s="66">
        <f t="shared" si="66"/>
        <v>250</v>
      </c>
      <c r="H187" s="129"/>
      <c r="I187" s="131"/>
      <c r="J187" s="129"/>
      <c r="K187" s="129"/>
      <c r="L187" s="133"/>
      <c r="M187" s="129"/>
      <c r="N187" s="58"/>
      <c r="O187" s="135"/>
      <c r="P187" s="135"/>
    </row>
    <row r="188" spans="3:16" x14ac:dyDescent="0.45">
      <c r="C188" s="22" t="s">
        <v>207</v>
      </c>
      <c r="D188" s="21" t="s">
        <v>208</v>
      </c>
      <c r="E188" s="51"/>
      <c r="F188" s="51"/>
      <c r="G188" s="21"/>
      <c r="H188" s="128">
        <f>SUM(G189:G189)</f>
        <v>225</v>
      </c>
      <c r="I188" s="130">
        <v>15</v>
      </c>
      <c r="J188" s="128">
        <f>I188*$D$7</f>
        <v>675</v>
      </c>
      <c r="K188" s="128">
        <f>SUM(G190:G190)</f>
        <v>37.5</v>
      </c>
      <c r="L188" s="132">
        <v>3</v>
      </c>
      <c r="M188" s="128">
        <f>L188*$D$7</f>
        <v>135</v>
      </c>
      <c r="N188" s="57"/>
      <c r="O188" s="134">
        <f>SUM(H188+J188)</f>
        <v>900</v>
      </c>
      <c r="P188" s="134">
        <f>SUM(K188+M188)</f>
        <v>172.5</v>
      </c>
    </row>
    <row r="189" spans="3:16" x14ac:dyDescent="0.45">
      <c r="C189" s="61" t="s">
        <v>209</v>
      </c>
      <c r="D189" s="61" t="s">
        <v>159</v>
      </c>
      <c r="E189" s="61">
        <v>300</v>
      </c>
      <c r="F189" s="62">
        <v>0.75</v>
      </c>
      <c r="G189" s="63">
        <f t="shared" ref="G189:G190" si="67">F189*E189</f>
        <v>225</v>
      </c>
      <c r="H189" s="129"/>
      <c r="I189" s="131"/>
      <c r="J189" s="129"/>
      <c r="K189" s="129"/>
      <c r="L189" s="133"/>
      <c r="M189" s="129"/>
      <c r="N189" s="58"/>
      <c r="O189" s="135"/>
      <c r="P189" s="135"/>
    </row>
    <row r="190" spans="3:16" x14ac:dyDescent="0.45">
      <c r="C190" s="64" t="s">
        <v>209</v>
      </c>
      <c r="D190" s="64" t="s">
        <v>159</v>
      </c>
      <c r="E190" s="64">
        <v>50</v>
      </c>
      <c r="F190" s="65">
        <v>0.75</v>
      </c>
      <c r="G190" s="66">
        <f t="shared" si="67"/>
        <v>37.5</v>
      </c>
      <c r="H190" s="129"/>
      <c r="I190" s="131"/>
      <c r="J190" s="129"/>
      <c r="K190" s="129"/>
      <c r="L190" s="133"/>
      <c r="M190" s="129"/>
      <c r="N190" s="58"/>
      <c r="O190" s="135"/>
      <c r="P190" s="135"/>
    </row>
    <row r="191" spans="3:16" x14ac:dyDescent="0.45">
      <c r="C191" s="22" t="s">
        <v>210</v>
      </c>
      <c r="D191" s="21" t="s">
        <v>211</v>
      </c>
      <c r="E191" s="51"/>
      <c r="F191" s="51"/>
      <c r="G191" s="21"/>
      <c r="H191" s="128">
        <f>SUM(G192:G192)</f>
        <v>0</v>
      </c>
      <c r="I191" s="130">
        <v>3</v>
      </c>
      <c r="J191" s="128">
        <f>I191*$D$5</f>
        <v>621</v>
      </c>
      <c r="K191" s="128">
        <f>SUM(G193:G193)</f>
        <v>0</v>
      </c>
      <c r="L191" s="132">
        <v>2</v>
      </c>
      <c r="M191" s="128">
        <f>L191*D8</f>
        <v>330</v>
      </c>
      <c r="N191" s="57"/>
      <c r="O191" s="134">
        <f>SUM(H191+J191)</f>
        <v>621</v>
      </c>
      <c r="P191" s="134">
        <f>SUM(K191+M191)</f>
        <v>330</v>
      </c>
    </row>
    <row r="192" spans="3:16" x14ac:dyDescent="0.45">
      <c r="C192" s="61"/>
      <c r="D192" s="61"/>
      <c r="E192" s="61"/>
      <c r="F192" s="62"/>
      <c r="G192" s="63">
        <f t="shared" ref="G192:G193" si="68">F192*E192</f>
        <v>0</v>
      </c>
      <c r="H192" s="129"/>
      <c r="I192" s="131"/>
      <c r="J192" s="129"/>
      <c r="K192" s="129"/>
      <c r="L192" s="133"/>
      <c r="M192" s="129"/>
      <c r="N192" s="58"/>
      <c r="O192" s="135"/>
      <c r="P192" s="135"/>
    </row>
    <row r="193" spans="3:16" x14ac:dyDescent="0.45">
      <c r="C193" s="64"/>
      <c r="D193" s="64"/>
      <c r="E193" s="64"/>
      <c r="F193" s="65"/>
      <c r="G193" s="66">
        <f t="shared" si="68"/>
        <v>0</v>
      </c>
      <c r="H193" s="129"/>
      <c r="I193" s="131"/>
      <c r="J193" s="129"/>
      <c r="K193" s="129"/>
      <c r="L193" s="133"/>
      <c r="M193" s="129"/>
      <c r="N193" s="58"/>
      <c r="O193" s="135"/>
      <c r="P193" s="135"/>
    </row>
    <row r="194" spans="3:16" x14ac:dyDescent="0.45">
      <c r="C194" s="22" t="s">
        <v>212</v>
      </c>
      <c r="D194" s="21" t="s">
        <v>213</v>
      </c>
      <c r="E194" s="51"/>
      <c r="F194" s="51"/>
      <c r="G194" s="21"/>
      <c r="H194" s="128">
        <f>SUM(G195:G195)</f>
        <v>0</v>
      </c>
      <c r="I194" s="130">
        <v>4</v>
      </c>
      <c r="J194" s="128"/>
      <c r="K194" s="128">
        <f>SUM(G196:G196)</f>
        <v>0</v>
      </c>
      <c r="L194" s="132">
        <v>0</v>
      </c>
      <c r="M194" s="128">
        <v>0</v>
      </c>
      <c r="N194" s="57"/>
      <c r="O194" s="134">
        <f>SUM(H194+J194)</f>
        <v>0</v>
      </c>
      <c r="P194" s="134">
        <f>SUM(K194+M194)</f>
        <v>0</v>
      </c>
    </row>
    <row r="195" spans="3:16" x14ac:dyDescent="0.45">
      <c r="C195" s="61"/>
      <c r="D195" s="61"/>
      <c r="E195" s="61"/>
      <c r="F195" s="62"/>
      <c r="G195" s="63">
        <f t="shared" ref="G195:G196" si="69">F195*E195</f>
        <v>0</v>
      </c>
      <c r="H195" s="129"/>
      <c r="I195" s="131"/>
      <c r="J195" s="129"/>
      <c r="K195" s="129"/>
      <c r="L195" s="133"/>
      <c r="M195" s="129"/>
      <c r="N195" s="58"/>
      <c r="O195" s="135"/>
      <c r="P195" s="135"/>
    </row>
    <row r="196" spans="3:16" x14ac:dyDescent="0.45">
      <c r="C196" s="64"/>
      <c r="D196" s="64"/>
      <c r="E196" s="64"/>
      <c r="F196" s="65"/>
      <c r="G196" s="66">
        <f t="shared" si="69"/>
        <v>0</v>
      </c>
      <c r="H196" s="129"/>
      <c r="I196" s="131"/>
      <c r="J196" s="129"/>
      <c r="K196" s="129"/>
      <c r="L196" s="133"/>
      <c r="M196" s="129"/>
      <c r="N196" s="58"/>
      <c r="O196" s="135"/>
      <c r="P196" s="135"/>
    </row>
    <row r="197" spans="3:16" x14ac:dyDescent="0.45">
      <c r="C197" s="142" t="s">
        <v>133</v>
      </c>
      <c r="D197" s="142"/>
      <c r="E197" s="142"/>
      <c r="F197" s="142"/>
      <c r="G197" s="142"/>
      <c r="H197" s="67">
        <f>SUM(H185:H196)</f>
        <v>1225</v>
      </c>
      <c r="I197" s="67">
        <f t="shared" ref="I197:P197" si="70">SUM(I185:I196)</f>
        <v>28</v>
      </c>
      <c r="J197" s="67">
        <f t="shared" si="70"/>
        <v>1566</v>
      </c>
      <c r="K197" s="67">
        <f t="shared" si="70"/>
        <v>287.5</v>
      </c>
      <c r="L197" s="67">
        <f t="shared" si="70"/>
        <v>11</v>
      </c>
      <c r="M197" s="67">
        <f t="shared" si="70"/>
        <v>735</v>
      </c>
      <c r="N197" s="67">
        <f t="shared" si="70"/>
        <v>0</v>
      </c>
      <c r="O197" s="67">
        <f t="shared" si="70"/>
        <v>2791</v>
      </c>
      <c r="P197" s="67">
        <f t="shared" si="70"/>
        <v>1022.5</v>
      </c>
    </row>
    <row r="199" spans="3:16" ht="21" x14ac:dyDescent="0.65">
      <c r="G199" s="75" t="s">
        <v>214</v>
      </c>
      <c r="H199" s="76">
        <f>SUM(H197+H21+H37+H56+H81+H106+H131+H156+H182)</f>
        <v>24470.25</v>
      </c>
      <c r="I199" s="77">
        <f t="shared" ref="I199:P199" si="71">SUM(I197+I21+I37+I56+I81+I106+I131+I156+I182)</f>
        <v>751.57575757575762</v>
      </c>
      <c r="J199" s="76">
        <f t="shared" si="71"/>
        <v>43834.909090909088</v>
      </c>
      <c r="K199" s="76">
        <f t="shared" si="71"/>
        <v>34349.5</v>
      </c>
      <c r="L199" s="77">
        <f t="shared" si="71"/>
        <v>111.65909090909091</v>
      </c>
      <c r="M199" s="76">
        <f t="shared" si="71"/>
        <v>15556.159090909092</v>
      </c>
      <c r="N199" s="76">
        <f t="shared" si="71"/>
        <v>0</v>
      </c>
      <c r="O199" s="76">
        <f t="shared" si="71"/>
        <v>68305.159090909088</v>
      </c>
      <c r="P199" s="76">
        <f t="shared" si="71"/>
        <v>49905.659090909088</v>
      </c>
    </row>
    <row r="201" spans="3:16" x14ac:dyDescent="0.45">
      <c r="I201" s="73"/>
    </row>
  </sheetData>
  <dataConsolidate/>
  <mergeCells count="419">
    <mergeCell ref="C182:G182"/>
    <mergeCell ref="O178:O179"/>
    <mergeCell ref="P178:P179"/>
    <mergeCell ref="H180:H181"/>
    <mergeCell ref="I180:I181"/>
    <mergeCell ref="J180:J181"/>
    <mergeCell ref="K180:K181"/>
    <mergeCell ref="L180:L181"/>
    <mergeCell ref="M180:M181"/>
    <mergeCell ref="O180:O181"/>
    <mergeCell ref="P180:P181"/>
    <mergeCell ref="H178:H179"/>
    <mergeCell ref="I178:I179"/>
    <mergeCell ref="J178:J179"/>
    <mergeCell ref="K178:K179"/>
    <mergeCell ref="L178:L179"/>
    <mergeCell ref="M178:M179"/>
    <mergeCell ref="H173:H177"/>
    <mergeCell ref="I173:I177"/>
    <mergeCell ref="J173:J177"/>
    <mergeCell ref="K173:K177"/>
    <mergeCell ref="L173:L177"/>
    <mergeCell ref="M173:M177"/>
    <mergeCell ref="O173:O177"/>
    <mergeCell ref="P173:P177"/>
    <mergeCell ref="H171:H172"/>
    <mergeCell ref="I171:I172"/>
    <mergeCell ref="J171:J172"/>
    <mergeCell ref="K171:K172"/>
    <mergeCell ref="L171:L172"/>
    <mergeCell ref="M171:M172"/>
    <mergeCell ref="H165:H170"/>
    <mergeCell ref="I165:I170"/>
    <mergeCell ref="J165:J170"/>
    <mergeCell ref="K165:K170"/>
    <mergeCell ref="L165:L170"/>
    <mergeCell ref="M165:M170"/>
    <mergeCell ref="O165:O170"/>
    <mergeCell ref="P165:P170"/>
    <mergeCell ref="O171:O172"/>
    <mergeCell ref="P171:P172"/>
    <mergeCell ref="O159:O160"/>
    <mergeCell ref="P159:P160"/>
    <mergeCell ref="H161:H164"/>
    <mergeCell ref="I161:I164"/>
    <mergeCell ref="J161:J164"/>
    <mergeCell ref="K161:K164"/>
    <mergeCell ref="L161:L164"/>
    <mergeCell ref="M161:M164"/>
    <mergeCell ref="O161:O164"/>
    <mergeCell ref="P161:P164"/>
    <mergeCell ref="C156:G156"/>
    <mergeCell ref="C158:G158"/>
    <mergeCell ref="H159:H160"/>
    <mergeCell ref="I159:I160"/>
    <mergeCell ref="J159:J160"/>
    <mergeCell ref="K159:K160"/>
    <mergeCell ref="O152:O153"/>
    <mergeCell ref="P152:P153"/>
    <mergeCell ref="H154:H155"/>
    <mergeCell ref="I154:I155"/>
    <mergeCell ref="J154:J155"/>
    <mergeCell ref="K154:K155"/>
    <mergeCell ref="L154:L155"/>
    <mergeCell ref="M154:M155"/>
    <mergeCell ref="O154:O155"/>
    <mergeCell ref="P154:P155"/>
    <mergeCell ref="H152:H153"/>
    <mergeCell ref="I152:I153"/>
    <mergeCell ref="J152:J153"/>
    <mergeCell ref="K152:K153"/>
    <mergeCell ref="L152:L153"/>
    <mergeCell ref="M152:M153"/>
    <mergeCell ref="L159:L160"/>
    <mergeCell ref="M159:M160"/>
    <mergeCell ref="H147:H151"/>
    <mergeCell ref="I147:I151"/>
    <mergeCell ref="J147:J151"/>
    <mergeCell ref="K147:K151"/>
    <mergeCell ref="L147:L151"/>
    <mergeCell ref="M147:M151"/>
    <mergeCell ref="O147:O151"/>
    <mergeCell ref="P147:P151"/>
    <mergeCell ref="H145:H146"/>
    <mergeCell ref="I145:I146"/>
    <mergeCell ref="J145:J146"/>
    <mergeCell ref="K145:K146"/>
    <mergeCell ref="L145:L146"/>
    <mergeCell ref="M145:M146"/>
    <mergeCell ref="H140:H144"/>
    <mergeCell ref="I140:I144"/>
    <mergeCell ref="J140:J144"/>
    <mergeCell ref="K140:K144"/>
    <mergeCell ref="L140:L144"/>
    <mergeCell ref="M140:M144"/>
    <mergeCell ref="O140:O144"/>
    <mergeCell ref="P140:P144"/>
    <mergeCell ref="O145:O146"/>
    <mergeCell ref="P145:P146"/>
    <mergeCell ref="O134:O135"/>
    <mergeCell ref="P134:P135"/>
    <mergeCell ref="H136:H139"/>
    <mergeCell ref="I136:I139"/>
    <mergeCell ref="J136:J139"/>
    <mergeCell ref="K136:K139"/>
    <mergeCell ref="L136:L139"/>
    <mergeCell ref="M136:M139"/>
    <mergeCell ref="O136:O139"/>
    <mergeCell ref="P136:P139"/>
    <mergeCell ref="C131:G131"/>
    <mergeCell ref="C133:G133"/>
    <mergeCell ref="H134:H135"/>
    <mergeCell ref="I134:I135"/>
    <mergeCell ref="J134:J135"/>
    <mergeCell ref="K134:K135"/>
    <mergeCell ref="O127:O128"/>
    <mergeCell ref="P127:P128"/>
    <mergeCell ref="H129:H130"/>
    <mergeCell ref="I129:I130"/>
    <mergeCell ref="J129:J130"/>
    <mergeCell ref="K129:K130"/>
    <mergeCell ref="L129:L130"/>
    <mergeCell ref="M129:M130"/>
    <mergeCell ref="O129:O130"/>
    <mergeCell ref="P129:P130"/>
    <mergeCell ref="H127:H128"/>
    <mergeCell ref="I127:I128"/>
    <mergeCell ref="J127:J128"/>
    <mergeCell ref="K127:K128"/>
    <mergeCell ref="L127:L128"/>
    <mergeCell ref="M127:M128"/>
    <mergeCell ref="L134:L135"/>
    <mergeCell ref="M134:M135"/>
    <mergeCell ref="H122:H126"/>
    <mergeCell ref="I122:I126"/>
    <mergeCell ref="J122:J126"/>
    <mergeCell ref="K122:K126"/>
    <mergeCell ref="L122:L126"/>
    <mergeCell ref="M122:M126"/>
    <mergeCell ref="O122:O126"/>
    <mergeCell ref="P122:P126"/>
    <mergeCell ref="H120:H121"/>
    <mergeCell ref="I120:I121"/>
    <mergeCell ref="J120:J121"/>
    <mergeCell ref="K120:K121"/>
    <mergeCell ref="L120:L121"/>
    <mergeCell ref="M120:M121"/>
    <mergeCell ref="H115:H119"/>
    <mergeCell ref="I115:I119"/>
    <mergeCell ref="J115:J119"/>
    <mergeCell ref="K115:K119"/>
    <mergeCell ref="L115:L119"/>
    <mergeCell ref="M115:M119"/>
    <mergeCell ref="O115:O119"/>
    <mergeCell ref="P115:P119"/>
    <mergeCell ref="O120:O121"/>
    <mergeCell ref="P120:P121"/>
    <mergeCell ref="M109:M110"/>
    <mergeCell ref="O109:O110"/>
    <mergeCell ref="P109:P110"/>
    <mergeCell ref="H111:H114"/>
    <mergeCell ref="I111:I114"/>
    <mergeCell ref="J111:J114"/>
    <mergeCell ref="K111:K114"/>
    <mergeCell ref="L111:L114"/>
    <mergeCell ref="M111:M114"/>
    <mergeCell ref="O111:O114"/>
    <mergeCell ref="P111:P114"/>
    <mergeCell ref="C108:G108"/>
    <mergeCell ref="H109:H110"/>
    <mergeCell ref="I109:I110"/>
    <mergeCell ref="J109:J110"/>
    <mergeCell ref="K109:K110"/>
    <mergeCell ref="L109:L110"/>
    <mergeCell ref="C106:G106"/>
    <mergeCell ref="C83:G83"/>
    <mergeCell ref="H84:H85"/>
    <mergeCell ref="I84:I85"/>
    <mergeCell ref="J84:J85"/>
    <mergeCell ref="K84:K85"/>
    <mergeCell ref="L84:L85"/>
    <mergeCell ref="H97:H101"/>
    <mergeCell ref="I97:I101"/>
    <mergeCell ref="J97:J101"/>
    <mergeCell ref="K97:K101"/>
    <mergeCell ref="L97:L101"/>
    <mergeCell ref="H90:H94"/>
    <mergeCell ref="I90:I94"/>
    <mergeCell ref="J90:J94"/>
    <mergeCell ref="K90:K94"/>
    <mergeCell ref="L90:L94"/>
    <mergeCell ref="O102:O103"/>
    <mergeCell ref="P102:P103"/>
    <mergeCell ref="H104:H105"/>
    <mergeCell ref="I104:I105"/>
    <mergeCell ref="J104:J105"/>
    <mergeCell ref="K104:K105"/>
    <mergeCell ref="L104:L105"/>
    <mergeCell ref="M104:M105"/>
    <mergeCell ref="O104:O105"/>
    <mergeCell ref="P104:P105"/>
    <mergeCell ref="H102:H103"/>
    <mergeCell ref="I102:I103"/>
    <mergeCell ref="J102:J103"/>
    <mergeCell ref="K102:K103"/>
    <mergeCell ref="L102:L103"/>
    <mergeCell ref="M102:M103"/>
    <mergeCell ref="M97:M101"/>
    <mergeCell ref="O97:O101"/>
    <mergeCell ref="P97:P101"/>
    <mergeCell ref="H95:H96"/>
    <mergeCell ref="I95:I96"/>
    <mergeCell ref="J95:J96"/>
    <mergeCell ref="K95:K96"/>
    <mergeCell ref="L95:L96"/>
    <mergeCell ref="M95:M96"/>
    <mergeCell ref="M90:M94"/>
    <mergeCell ref="O90:O94"/>
    <mergeCell ref="P90:P94"/>
    <mergeCell ref="O95:O96"/>
    <mergeCell ref="P95:P96"/>
    <mergeCell ref="M84:M85"/>
    <mergeCell ref="O84:O85"/>
    <mergeCell ref="P84:P85"/>
    <mergeCell ref="H86:H89"/>
    <mergeCell ref="I86:I89"/>
    <mergeCell ref="J86:J89"/>
    <mergeCell ref="K86:K89"/>
    <mergeCell ref="L86:L89"/>
    <mergeCell ref="M86:M89"/>
    <mergeCell ref="O86:O89"/>
    <mergeCell ref="P86:P89"/>
    <mergeCell ref="C56:G56"/>
    <mergeCell ref="O50:O51"/>
    <mergeCell ref="P50:P51"/>
    <mergeCell ref="H52:H55"/>
    <mergeCell ref="I52:I55"/>
    <mergeCell ref="J52:J55"/>
    <mergeCell ref="K52:K55"/>
    <mergeCell ref="L52:L55"/>
    <mergeCell ref="M52:M55"/>
    <mergeCell ref="O52:O55"/>
    <mergeCell ref="P52:P55"/>
    <mergeCell ref="H50:H51"/>
    <mergeCell ref="I50:I51"/>
    <mergeCell ref="J50:J51"/>
    <mergeCell ref="K50:K51"/>
    <mergeCell ref="L50:L51"/>
    <mergeCell ref="M50:M51"/>
    <mergeCell ref="J48:J49"/>
    <mergeCell ref="K48:K49"/>
    <mergeCell ref="L48:L49"/>
    <mergeCell ref="M48:M49"/>
    <mergeCell ref="O48:O49"/>
    <mergeCell ref="P48:P49"/>
    <mergeCell ref="O40:O44"/>
    <mergeCell ref="P40:P44"/>
    <mergeCell ref="H45:H47"/>
    <mergeCell ref="I45:I47"/>
    <mergeCell ref="J45:J47"/>
    <mergeCell ref="K45:K47"/>
    <mergeCell ref="L45:L47"/>
    <mergeCell ref="M45:M47"/>
    <mergeCell ref="O45:O47"/>
    <mergeCell ref="P45:P47"/>
    <mergeCell ref="K31:K33"/>
    <mergeCell ref="L31:L33"/>
    <mergeCell ref="M31:M33"/>
    <mergeCell ref="O34:O36"/>
    <mergeCell ref="P34:P36"/>
    <mergeCell ref="C37:G37"/>
    <mergeCell ref="H25:H27"/>
    <mergeCell ref="I25:I27"/>
    <mergeCell ref="J25:J27"/>
    <mergeCell ref="C14:G14"/>
    <mergeCell ref="C21:G21"/>
    <mergeCell ref="H28:H30"/>
    <mergeCell ref="I28:I30"/>
    <mergeCell ref="J28:J30"/>
    <mergeCell ref="K28:K30"/>
    <mergeCell ref="P25:P27"/>
    <mergeCell ref="O15:O17"/>
    <mergeCell ref="P15:P17"/>
    <mergeCell ref="H18:H20"/>
    <mergeCell ref="I18:I20"/>
    <mergeCell ref="J18:J20"/>
    <mergeCell ref="K18:K20"/>
    <mergeCell ref="L18:L20"/>
    <mergeCell ref="M18:M20"/>
    <mergeCell ref="O18:O20"/>
    <mergeCell ref="P18:P20"/>
    <mergeCell ref="K25:K27"/>
    <mergeCell ref="L25:L27"/>
    <mergeCell ref="M25:M27"/>
    <mergeCell ref="O25:O27"/>
    <mergeCell ref="C24:G24"/>
    <mergeCell ref="L28:L30"/>
    <mergeCell ref="M28:M30"/>
    <mergeCell ref="C58:G58"/>
    <mergeCell ref="C81:G81"/>
    <mergeCell ref="H15:H17"/>
    <mergeCell ref="I15:I17"/>
    <mergeCell ref="J15:J17"/>
    <mergeCell ref="K15:K17"/>
    <mergeCell ref="L15:L17"/>
    <mergeCell ref="L40:L44"/>
    <mergeCell ref="M40:M44"/>
    <mergeCell ref="H48:H49"/>
    <mergeCell ref="I48:I49"/>
    <mergeCell ref="H34:H36"/>
    <mergeCell ref="I34:I36"/>
    <mergeCell ref="J34:J36"/>
    <mergeCell ref="K34:K36"/>
    <mergeCell ref="L34:L36"/>
    <mergeCell ref="M34:M36"/>
    <mergeCell ref="C39:G39"/>
    <mergeCell ref="H40:H44"/>
    <mergeCell ref="I40:I44"/>
    <mergeCell ref="J40:J44"/>
    <mergeCell ref="K40:K44"/>
    <mergeCell ref="H31:H33"/>
    <mergeCell ref="I31:I33"/>
    <mergeCell ref="O77:O78"/>
    <mergeCell ref="P77:P78"/>
    <mergeCell ref="H79:H80"/>
    <mergeCell ref="I79:I80"/>
    <mergeCell ref="J79:J80"/>
    <mergeCell ref="K79:K80"/>
    <mergeCell ref="L79:L80"/>
    <mergeCell ref="M79:M80"/>
    <mergeCell ref="O79:O80"/>
    <mergeCell ref="P79:P80"/>
    <mergeCell ref="H77:H78"/>
    <mergeCell ref="I77:I78"/>
    <mergeCell ref="J77:J78"/>
    <mergeCell ref="K77:K78"/>
    <mergeCell ref="L77:L78"/>
    <mergeCell ref="M77:M78"/>
    <mergeCell ref="O70:O71"/>
    <mergeCell ref="P70:P71"/>
    <mergeCell ref="H72:H76"/>
    <mergeCell ref="I72:I76"/>
    <mergeCell ref="J72:J76"/>
    <mergeCell ref="K72:K76"/>
    <mergeCell ref="L72:L76"/>
    <mergeCell ref="M72:M76"/>
    <mergeCell ref="O72:O76"/>
    <mergeCell ref="P72:P76"/>
    <mergeCell ref="H70:H71"/>
    <mergeCell ref="I70:I71"/>
    <mergeCell ref="J70:J71"/>
    <mergeCell ref="K70:K71"/>
    <mergeCell ref="L70:L71"/>
    <mergeCell ref="M70:M71"/>
    <mergeCell ref="J59:J60"/>
    <mergeCell ref="L59:L60"/>
    <mergeCell ref="M15:M17"/>
    <mergeCell ref="P61:P64"/>
    <mergeCell ref="H65:H69"/>
    <mergeCell ref="I65:I69"/>
    <mergeCell ref="J65:J69"/>
    <mergeCell ref="K65:K69"/>
    <mergeCell ref="L65:L69"/>
    <mergeCell ref="M65:M69"/>
    <mergeCell ref="O65:O69"/>
    <mergeCell ref="P65:P69"/>
    <mergeCell ref="J61:J64"/>
    <mergeCell ref="L61:L64"/>
    <mergeCell ref="M61:M64"/>
    <mergeCell ref="H61:H64"/>
    <mergeCell ref="K61:K64"/>
    <mergeCell ref="O61:O64"/>
    <mergeCell ref="I61:I64"/>
    <mergeCell ref="O31:O33"/>
    <mergeCell ref="P31:P33"/>
    <mergeCell ref="O28:O30"/>
    <mergeCell ref="P28:P30"/>
    <mergeCell ref="J31:J33"/>
    <mergeCell ref="C197:G197"/>
    <mergeCell ref="H188:H190"/>
    <mergeCell ref="I188:I190"/>
    <mergeCell ref="J188:J190"/>
    <mergeCell ref="K188:K190"/>
    <mergeCell ref="L188:L190"/>
    <mergeCell ref="M188:M190"/>
    <mergeCell ref="O188:O190"/>
    <mergeCell ref="P188:P190"/>
    <mergeCell ref="H191:H193"/>
    <mergeCell ref="I191:I193"/>
    <mergeCell ref="J191:J193"/>
    <mergeCell ref="K191:K193"/>
    <mergeCell ref="L191:L193"/>
    <mergeCell ref="M191:M193"/>
    <mergeCell ref="O191:O193"/>
    <mergeCell ref="P191:P193"/>
    <mergeCell ref="C1:P1"/>
    <mergeCell ref="H194:H196"/>
    <mergeCell ref="I194:I196"/>
    <mergeCell ref="J194:J196"/>
    <mergeCell ref="K194:K196"/>
    <mergeCell ref="L194:L196"/>
    <mergeCell ref="M194:M196"/>
    <mergeCell ref="O194:O196"/>
    <mergeCell ref="P194:P196"/>
    <mergeCell ref="C184:G184"/>
    <mergeCell ref="H185:H187"/>
    <mergeCell ref="I185:I187"/>
    <mergeCell ref="J185:J187"/>
    <mergeCell ref="K185:K187"/>
    <mergeCell ref="L185:L187"/>
    <mergeCell ref="M185:M187"/>
    <mergeCell ref="O185:O187"/>
    <mergeCell ref="P185:P187"/>
    <mergeCell ref="P59:P60"/>
    <mergeCell ref="M59:M60"/>
    <mergeCell ref="H59:H60"/>
    <mergeCell ref="K59:K60"/>
    <mergeCell ref="O59:O60"/>
    <mergeCell ref="I59:I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8943-D7B2-44BA-A698-A683FE22D8D9}">
  <sheetPr>
    <tabColor theme="8"/>
  </sheetPr>
  <dimension ref="B1:T187"/>
  <sheetViews>
    <sheetView topLeftCell="A171" zoomScale="115" zoomScaleNormal="115" workbookViewId="0">
      <selection activeCell="D178" sqref="D178"/>
    </sheetView>
  </sheetViews>
  <sheetFormatPr defaultRowHeight="14.25" x14ac:dyDescent="0.45"/>
  <cols>
    <col min="2" max="2" width="6.59765625" customWidth="1"/>
    <col min="3" max="3" width="29.1328125" customWidth="1"/>
    <col min="4" max="4" width="19" customWidth="1"/>
    <col min="6" max="6" width="15.1328125" customWidth="1"/>
    <col min="7" max="7" width="21" customWidth="1"/>
    <col min="8" max="8" width="18.86328125" customWidth="1"/>
    <col min="9" max="9" width="16.3984375" customWidth="1"/>
    <col min="10" max="10" width="19.73046875" customWidth="1"/>
    <col min="11" max="11" width="18" customWidth="1"/>
    <col min="12" max="12" width="17.59765625" customWidth="1"/>
    <col min="13" max="13" width="19.1328125" customWidth="1"/>
    <col min="14" max="14" width="2.1328125" customWidth="1"/>
    <col min="15" max="15" width="19" customWidth="1"/>
    <col min="16" max="16" width="21.1328125" customWidth="1"/>
    <col min="18" max="18" width="14.59765625" customWidth="1"/>
  </cols>
  <sheetData>
    <row r="1" spans="3:16" ht="21" x14ac:dyDescent="0.65">
      <c r="C1" s="156" t="s">
        <v>215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3" spans="3:16" x14ac:dyDescent="0.45">
      <c r="C3" t="s">
        <v>100</v>
      </c>
      <c r="G3" t="s">
        <v>101</v>
      </c>
    </row>
    <row r="4" spans="3:16" x14ac:dyDescent="0.45">
      <c r="C4" s="19" t="s">
        <v>102</v>
      </c>
      <c r="G4" s="19" t="s">
        <v>103</v>
      </c>
    </row>
    <row r="5" spans="3:16" x14ac:dyDescent="0.45">
      <c r="C5" s="20" t="s">
        <v>104</v>
      </c>
      <c r="D5" s="40">
        <v>207</v>
      </c>
      <c r="E5" t="s">
        <v>105</v>
      </c>
      <c r="G5" s="20" t="s">
        <v>106</v>
      </c>
      <c r="H5">
        <v>6</v>
      </c>
      <c r="I5" t="s">
        <v>107</v>
      </c>
    </row>
    <row r="6" spans="3:16" x14ac:dyDescent="0.45">
      <c r="C6" s="20" t="s">
        <v>108</v>
      </c>
      <c r="D6" s="40">
        <v>72</v>
      </c>
      <c r="E6" t="s">
        <v>105</v>
      </c>
      <c r="G6" s="20" t="s">
        <v>109</v>
      </c>
      <c r="H6">
        <v>30</v>
      </c>
      <c r="I6" t="s">
        <v>107</v>
      </c>
    </row>
    <row r="7" spans="3:16" x14ac:dyDescent="0.45">
      <c r="C7" s="20" t="s">
        <v>110</v>
      </c>
      <c r="D7" s="40">
        <v>45</v>
      </c>
      <c r="E7" t="s">
        <v>105</v>
      </c>
      <c r="G7" s="20" t="s">
        <v>111</v>
      </c>
      <c r="H7">
        <v>110</v>
      </c>
      <c r="I7" t="s">
        <v>107</v>
      </c>
    </row>
    <row r="8" spans="3:16" x14ac:dyDescent="0.45">
      <c r="C8" s="20" t="s">
        <v>112</v>
      </c>
      <c r="D8" s="40">
        <v>165</v>
      </c>
      <c r="E8" t="s">
        <v>105</v>
      </c>
      <c r="G8" s="20" t="s">
        <v>113</v>
      </c>
      <c r="H8" s="73">
        <v>50</v>
      </c>
      <c r="I8" t="s">
        <v>107</v>
      </c>
      <c r="J8" t="s">
        <v>216</v>
      </c>
    </row>
    <row r="9" spans="3:16" x14ac:dyDescent="0.45">
      <c r="C9" s="20" t="s">
        <v>217</v>
      </c>
      <c r="D9" s="40">
        <v>55</v>
      </c>
      <c r="E9" t="s">
        <v>105</v>
      </c>
      <c r="G9" s="20" t="s">
        <v>115</v>
      </c>
      <c r="H9" s="73">
        <v>300</v>
      </c>
      <c r="I9" t="s">
        <v>107</v>
      </c>
    </row>
    <row r="10" spans="3:16" x14ac:dyDescent="0.45">
      <c r="C10" s="20" t="s">
        <v>115</v>
      </c>
      <c r="D10" s="40">
        <v>92</v>
      </c>
      <c r="E10" t="s">
        <v>105</v>
      </c>
      <c r="G10" s="20" t="s">
        <v>116</v>
      </c>
      <c r="H10" s="40">
        <v>225</v>
      </c>
      <c r="I10" t="s">
        <v>117</v>
      </c>
    </row>
    <row r="11" spans="3:16" x14ac:dyDescent="0.45">
      <c r="G11" s="20" t="s">
        <v>118</v>
      </c>
      <c r="H11">
        <v>1</v>
      </c>
      <c r="I11" t="s">
        <v>119</v>
      </c>
    </row>
    <row r="12" spans="3:16" x14ac:dyDescent="0.45">
      <c r="G12" s="20" t="s">
        <v>218</v>
      </c>
    </row>
    <row r="14" spans="3:16" ht="14.65" thickBot="1" x14ac:dyDescent="0.5"/>
    <row r="15" spans="3:16" x14ac:dyDescent="0.45">
      <c r="C15" s="136" t="s">
        <v>120</v>
      </c>
      <c r="D15" s="136"/>
      <c r="E15" s="136"/>
      <c r="F15" s="136"/>
      <c r="G15" s="137"/>
      <c r="H15" s="60" t="s">
        <v>121</v>
      </c>
      <c r="I15" s="60" t="s">
        <v>122</v>
      </c>
      <c r="J15" s="60" t="s">
        <v>123</v>
      </c>
      <c r="K15" s="48" t="s">
        <v>124</v>
      </c>
      <c r="L15" s="48" t="s">
        <v>125</v>
      </c>
      <c r="M15" s="48" t="s">
        <v>126</v>
      </c>
      <c r="N15" s="48"/>
      <c r="O15" s="60" t="s">
        <v>127</v>
      </c>
      <c r="P15" s="49" t="s">
        <v>128</v>
      </c>
    </row>
    <row r="16" spans="3:16" x14ac:dyDescent="0.45">
      <c r="C16" s="22" t="s">
        <v>129</v>
      </c>
      <c r="D16" s="21" t="s">
        <v>130</v>
      </c>
      <c r="E16" s="51"/>
      <c r="F16" s="51"/>
      <c r="G16" s="21"/>
      <c r="H16" s="128">
        <f>SUM(G17:G17)</f>
        <v>0</v>
      </c>
      <c r="I16" s="130">
        <v>8</v>
      </c>
      <c r="J16" s="128">
        <f>D7*I16</f>
        <v>360</v>
      </c>
      <c r="K16" s="128">
        <f>SUM(G18:G18)</f>
        <v>0</v>
      </c>
      <c r="L16" s="132">
        <v>8</v>
      </c>
      <c r="M16" s="128">
        <f>L16*D7</f>
        <v>360</v>
      </c>
      <c r="N16" s="57"/>
      <c r="O16" s="134">
        <f>SUM(H16+J16)</f>
        <v>360</v>
      </c>
      <c r="P16" s="134">
        <f>SUM(K16+M16)</f>
        <v>360</v>
      </c>
    </row>
    <row r="17" spans="3:17" ht="15.75" customHeight="1" x14ac:dyDescent="0.45">
      <c r="C17" s="61"/>
      <c r="D17" s="61"/>
      <c r="E17" s="61"/>
      <c r="F17" s="62"/>
      <c r="G17" s="63"/>
      <c r="H17" s="129"/>
      <c r="I17" s="131"/>
      <c r="J17" s="129"/>
      <c r="K17" s="129"/>
      <c r="L17" s="133"/>
      <c r="M17" s="129"/>
      <c r="N17" s="58"/>
      <c r="O17" s="135"/>
      <c r="P17" s="135"/>
    </row>
    <row r="18" spans="3:17" x14ac:dyDescent="0.45">
      <c r="C18" s="64"/>
      <c r="D18" s="64"/>
      <c r="E18" s="64"/>
      <c r="F18" s="65"/>
      <c r="G18" s="66"/>
      <c r="H18" s="129"/>
      <c r="I18" s="131"/>
      <c r="J18" s="129"/>
      <c r="K18" s="129"/>
      <c r="L18" s="133"/>
      <c r="M18" s="129"/>
      <c r="N18" s="58"/>
      <c r="O18" s="135"/>
      <c r="P18" s="135"/>
    </row>
    <row r="19" spans="3:17" x14ac:dyDescent="0.45">
      <c r="C19" s="22" t="s">
        <v>131</v>
      </c>
      <c r="D19" s="21" t="s">
        <v>132</v>
      </c>
      <c r="E19" s="51"/>
      <c r="F19" s="51"/>
      <c r="G19" s="21"/>
      <c r="H19" s="128">
        <f>SUM(G20:G20)</f>
        <v>0</v>
      </c>
      <c r="I19" s="130">
        <v>4</v>
      </c>
      <c r="J19" s="128">
        <f>D6*I19</f>
        <v>288</v>
      </c>
      <c r="K19" s="128">
        <f>SUM(G21:G21)</f>
        <v>0</v>
      </c>
      <c r="L19" s="132">
        <v>0</v>
      </c>
      <c r="M19" s="128">
        <v>0</v>
      </c>
      <c r="N19" s="57"/>
      <c r="O19" s="134">
        <f>SUM(H19+J19)</f>
        <v>288</v>
      </c>
      <c r="P19" s="134">
        <f>SUM(K19+M19)</f>
        <v>0</v>
      </c>
    </row>
    <row r="20" spans="3:17" x14ac:dyDescent="0.45">
      <c r="C20" s="61"/>
      <c r="D20" s="61"/>
      <c r="E20" s="61"/>
      <c r="F20" s="62"/>
      <c r="G20" s="63"/>
      <c r="H20" s="129"/>
      <c r="I20" s="131"/>
      <c r="J20" s="129"/>
      <c r="K20" s="129"/>
      <c r="L20" s="133"/>
      <c r="M20" s="129"/>
      <c r="N20" s="58"/>
      <c r="O20" s="135"/>
      <c r="P20" s="135"/>
    </row>
    <row r="21" spans="3:17" x14ac:dyDescent="0.45">
      <c r="C21" s="64"/>
      <c r="D21" s="64"/>
      <c r="E21" s="64"/>
      <c r="F21" s="65"/>
      <c r="G21" s="66"/>
      <c r="H21" s="129"/>
      <c r="I21" s="131"/>
      <c r="J21" s="129"/>
      <c r="K21" s="129"/>
      <c r="L21" s="133"/>
      <c r="M21" s="129"/>
      <c r="N21" s="58"/>
      <c r="O21" s="135"/>
      <c r="P21" s="135"/>
    </row>
    <row r="22" spans="3:17" x14ac:dyDescent="0.45">
      <c r="C22" s="142" t="s">
        <v>133</v>
      </c>
      <c r="D22" s="142"/>
      <c r="E22" s="142"/>
      <c r="F22" s="142"/>
      <c r="G22" s="142"/>
      <c r="H22" s="67">
        <f>SUM(H16:H21)</f>
        <v>0</v>
      </c>
      <c r="I22" s="68">
        <f t="shared" ref="I22:P22" si="0">SUM(I16:I21)</f>
        <v>12</v>
      </c>
      <c r="J22" s="67">
        <f t="shared" si="0"/>
        <v>648</v>
      </c>
      <c r="K22" s="67">
        <f t="shared" si="0"/>
        <v>0</v>
      </c>
      <c r="L22" s="68">
        <f t="shared" si="0"/>
        <v>8</v>
      </c>
      <c r="M22" s="67">
        <f t="shared" si="0"/>
        <v>360</v>
      </c>
      <c r="N22" s="67">
        <f t="shared" si="0"/>
        <v>0</v>
      </c>
      <c r="O22" s="67">
        <f t="shared" si="0"/>
        <v>648</v>
      </c>
      <c r="P22" s="67">
        <f t="shared" si="0"/>
        <v>360</v>
      </c>
      <c r="Q22" t="s">
        <v>134</v>
      </c>
    </row>
    <row r="24" spans="3:17" ht="14.65" thickBot="1" x14ac:dyDescent="0.5"/>
    <row r="25" spans="3:17" x14ac:dyDescent="0.45">
      <c r="C25" s="136" t="s">
        <v>135</v>
      </c>
      <c r="D25" s="136"/>
      <c r="E25" s="136"/>
      <c r="F25" s="136"/>
      <c r="G25" s="137"/>
      <c r="H25" s="60" t="s">
        <v>121</v>
      </c>
      <c r="I25" s="60" t="s">
        <v>122</v>
      </c>
      <c r="J25" s="60" t="s">
        <v>123</v>
      </c>
      <c r="K25" s="48" t="s">
        <v>124</v>
      </c>
      <c r="L25" s="48" t="s">
        <v>125</v>
      </c>
      <c r="M25" s="48" t="s">
        <v>126</v>
      </c>
      <c r="N25" s="48"/>
      <c r="O25" s="60" t="s">
        <v>127</v>
      </c>
      <c r="P25" s="49" t="s">
        <v>128</v>
      </c>
    </row>
    <row r="26" spans="3:17" x14ac:dyDescent="0.45">
      <c r="C26" s="22" t="s">
        <v>136</v>
      </c>
      <c r="D26" s="21" t="s">
        <v>219</v>
      </c>
      <c r="E26" s="51"/>
      <c r="F26" s="51"/>
      <c r="G26" s="21"/>
      <c r="H26" s="128">
        <f>SUM(G27:G27)</f>
        <v>0</v>
      </c>
      <c r="I26" s="130">
        <v>20</v>
      </c>
      <c r="J26" s="128">
        <f>D5*I26</f>
        <v>4140</v>
      </c>
      <c r="K26" s="128">
        <f>SUM(G28:G28)</f>
        <v>0</v>
      </c>
      <c r="L26" s="132">
        <v>4</v>
      </c>
      <c r="M26" s="128">
        <f>L26*D8</f>
        <v>660</v>
      </c>
      <c r="N26" s="57"/>
      <c r="O26" s="134">
        <f>SUM(H26+J26)</f>
        <v>4140</v>
      </c>
      <c r="P26" s="134">
        <f>SUM(K26+M26)</f>
        <v>660</v>
      </c>
    </row>
    <row r="27" spans="3:17" x14ac:dyDescent="0.45">
      <c r="C27" s="61"/>
      <c r="D27" s="61"/>
      <c r="E27" s="61"/>
      <c r="F27" s="62"/>
      <c r="G27" s="63"/>
      <c r="H27" s="129"/>
      <c r="I27" s="131"/>
      <c r="J27" s="129"/>
      <c r="K27" s="129"/>
      <c r="L27" s="133"/>
      <c r="M27" s="129"/>
      <c r="N27" s="58"/>
      <c r="O27" s="135"/>
      <c r="P27" s="135"/>
    </row>
    <row r="28" spans="3:17" x14ac:dyDescent="0.45">
      <c r="C28" s="64"/>
      <c r="D28" s="64"/>
      <c r="E28" s="64"/>
      <c r="F28" s="65"/>
      <c r="G28" s="66"/>
      <c r="H28" s="129"/>
      <c r="I28" s="131"/>
      <c r="J28" s="129"/>
      <c r="K28" s="129"/>
      <c r="L28" s="133"/>
      <c r="M28" s="129"/>
      <c r="N28" s="58"/>
      <c r="O28" s="135"/>
      <c r="P28" s="135"/>
    </row>
    <row r="29" spans="3:17" x14ac:dyDescent="0.45">
      <c r="C29" s="22" t="s">
        <v>138</v>
      </c>
      <c r="D29" s="21" t="s">
        <v>139</v>
      </c>
      <c r="E29" s="51"/>
      <c r="F29" s="51"/>
      <c r="G29" s="21"/>
      <c r="H29" s="128">
        <f>SUM(G30:G30)</f>
        <v>0</v>
      </c>
      <c r="I29" s="130">
        <v>48</v>
      </c>
      <c r="J29" s="128">
        <v>0</v>
      </c>
      <c r="K29" s="128">
        <f>SUM(G31:G31)</f>
        <v>0</v>
      </c>
      <c r="L29" s="132">
        <v>48</v>
      </c>
      <c r="M29" s="128">
        <v>0</v>
      </c>
      <c r="N29" s="57"/>
      <c r="O29" s="134">
        <f>SUM(H29+J29)</f>
        <v>0</v>
      </c>
      <c r="P29" s="134">
        <f>SUM(K29+M29)</f>
        <v>0</v>
      </c>
    </row>
    <row r="30" spans="3:17" x14ac:dyDescent="0.45">
      <c r="C30" s="61"/>
      <c r="D30" s="61"/>
      <c r="E30" s="61"/>
      <c r="F30" s="62"/>
      <c r="G30" s="63"/>
      <c r="H30" s="129"/>
      <c r="I30" s="131"/>
      <c r="J30" s="129"/>
      <c r="K30" s="129"/>
      <c r="L30" s="133"/>
      <c r="M30" s="129"/>
      <c r="N30" s="58"/>
      <c r="O30" s="135"/>
      <c r="P30" s="135"/>
    </row>
    <row r="31" spans="3:17" x14ac:dyDescent="0.45">
      <c r="C31" s="64"/>
      <c r="D31" s="64"/>
      <c r="E31" s="64"/>
      <c r="F31" s="65"/>
      <c r="G31" s="66"/>
      <c r="H31" s="129"/>
      <c r="I31" s="131"/>
      <c r="J31" s="129"/>
      <c r="K31" s="129"/>
      <c r="L31" s="133"/>
      <c r="M31" s="129"/>
      <c r="N31" s="58"/>
      <c r="O31" s="135"/>
      <c r="P31" s="135"/>
    </row>
    <row r="32" spans="3:17" x14ac:dyDescent="0.45">
      <c r="C32" s="22" t="s">
        <v>140</v>
      </c>
      <c r="D32" s="21" t="s">
        <v>141</v>
      </c>
      <c r="E32" s="51"/>
      <c r="F32" s="51"/>
      <c r="G32" s="21"/>
      <c r="H32" s="128">
        <f>SUM(G33:G33)</f>
        <v>0</v>
      </c>
      <c r="I32" s="130">
        <v>8</v>
      </c>
      <c r="J32" s="128">
        <f>D5*I32</f>
        <v>1656</v>
      </c>
      <c r="K32" s="128">
        <f>SUM(G34:G34)</f>
        <v>0</v>
      </c>
      <c r="L32" s="132">
        <v>4</v>
      </c>
      <c r="M32" s="128">
        <f>L32*D8</f>
        <v>660</v>
      </c>
      <c r="N32" s="57"/>
      <c r="O32" s="134">
        <f>SUM(H32+J32)</f>
        <v>1656</v>
      </c>
      <c r="P32" s="134">
        <f>SUM(K32+M32)</f>
        <v>660</v>
      </c>
    </row>
    <row r="33" spans="3:16" x14ac:dyDescent="0.45">
      <c r="C33" s="61"/>
      <c r="D33" s="61"/>
      <c r="E33" s="61"/>
      <c r="F33" s="62"/>
      <c r="G33" s="63"/>
      <c r="H33" s="129"/>
      <c r="I33" s="131"/>
      <c r="J33" s="129"/>
      <c r="K33" s="129"/>
      <c r="L33" s="133"/>
      <c r="M33" s="129"/>
      <c r="N33" s="58"/>
      <c r="O33" s="135"/>
      <c r="P33" s="135"/>
    </row>
    <row r="34" spans="3:16" x14ac:dyDescent="0.45">
      <c r="C34" s="64"/>
      <c r="D34" s="64"/>
      <c r="E34" s="64"/>
      <c r="F34" s="65"/>
      <c r="G34" s="66"/>
      <c r="H34" s="129"/>
      <c r="I34" s="131"/>
      <c r="J34" s="129"/>
      <c r="K34" s="129"/>
      <c r="L34" s="133"/>
      <c r="M34" s="129"/>
      <c r="N34" s="58"/>
      <c r="O34" s="135"/>
      <c r="P34" s="135"/>
    </row>
    <row r="35" spans="3:16" x14ac:dyDescent="0.45">
      <c r="C35" s="22" t="s">
        <v>142</v>
      </c>
      <c r="D35" s="21" t="s">
        <v>143</v>
      </c>
      <c r="E35" s="51"/>
      <c r="F35" s="51"/>
      <c r="G35" s="21"/>
      <c r="H35" s="128">
        <f>SUM(G36:G36)</f>
        <v>0</v>
      </c>
      <c r="I35" s="130">
        <v>24</v>
      </c>
      <c r="J35" s="128">
        <v>6500</v>
      </c>
      <c r="K35" s="128">
        <f>SUM(G37:G37)</f>
        <v>0</v>
      </c>
      <c r="L35" s="132">
        <v>0</v>
      </c>
      <c r="M35" s="128">
        <v>3850</v>
      </c>
      <c r="N35" s="57"/>
      <c r="O35" s="134">
        <f>SUM(H35+J35)</f>
        <v>6500</v>
      </c>
      <c r="P35" s="134">
        <f>SUM(K35+M35)</f>
        <v>3850</v>
      </c>
    </row>
    <row r="36" spans="3:16" x14ac:dyDescent="0.45">
      <c r="C36" s="61"/>
      <c r="D36" s="61"/>
      <c r="E36" s="61"/>
      <c r="F36" s="62"/>
      <c r="G36" s="63"/>
      <c r="H36" s="129"/>
      <c r="I36" s="131"/>
      <c r="J36" s="129"/>
      <c r="K36" s="129"/>
      <c r="L36" s="133"/>
      <c r="M36" s="129"/>
      <c r="N36" s="58"/>
      <c r="O36" s="135"/>
      <c r="P36" s="135"/>
    </row>
    <row r="37" spans="3:16" x14ac:dyDescent="0.45">
      <c r="C37" s="64"/>
      <c r="D37" s="64"/>
      <c r="E37" s="64"/>
      <c r="F37" s="65"/>
      <c r="G37" s="66"/>
      <c r="H37" s="129"/>
      <c r="I37" s="131"/>
      <c r="J37" s="129"/>
      <c r="K37" s="129"/>
      <c r="L37" s="133"/>
      <c r="M37" s="129"/>
      <c r="N37" s="58"/>
      <c r="O37" s="135"/>
      <c r="P37" s="135"/>
    </row>
    <row r="38" spans="3:16" x14ac:dyDescent="0.45">
      <c r="C38" s="142" t="s">
        <v>133</v>
      </c>
      <c r="D38" s="142"/>
      <c r="E38" s="142"/>
      <c r="F38" s="142"/>
      <c r="G38" s="142"/>
      <c r="H38" s="67">
        <f>SUM(H26:H37)</f>
        <v>0</v>
      </c>
      <c r="I38" s="68">
        <f t="shared" ref="I38:P38" si="1">SUM(I26:I37)</f>
        <v>100</v>
      </c>
      <c r="J38" s="67">
        <f t="shared" si="1"/>
        <v>12296</v>
      </c>
      <c r="K38" s="67">
        <f t="shared" si="1"/>
        <v>0</v>
      </c>
      <c r="L38" s="68">
        <f t="shared" si="1"/>
        <v>56</v>
      </c>
      <c r="M38" s="67">
        <f t="shared" si="1"/>
        <v>5170</v>
      </c>
      <c r="N38" s="67">
        <f t="shared" si="1"/>
        <v>0</v>
      </c>
      <c r="O38" s="67">
        <f t="shared" si="1"/>
        <v>12296</v>
      </c>
      <c r="P38" s="67">
        <f t="shared" si="1"/>
        <v>5170</v>
      </c>
    </row>
    <row r="39" spans="3:16" ht="14.65" thickBot="1" x14ac:dyDescent="0.5"/>
    <row r="40" spans="3:16" x14ac:dyDescent="0.45">
      <c r="C40" s="136" t="s">
        <v>144</v>
      </c>
      <c r="D40" s="136"/>
      <c r="E40" s="136"/>
      <c r="F40" s="136"/>
      <c r="G40" s="137"/>
      <c r="H40" s="60" t="s">
        <v>121</v>
      </c>
      <c r="I40" s="60" t="s">
        <v>122</v>
      </c>
      <c r="J40" s="60" t="s">
        <v>123</v>
      </c>
      <c r="K40" s="48" t="s">
        <v>124</v>
      </c>
      <c r="L40" s="48" t="s">
        <v>125</v>
      </c>
      <c r="M40" s="48" t="s">
        <v>126</v>
      </c>
      <c r="N40" s="48"/>
      <c r="O40" s="60" t="s">
        <v>127</v>
      </c>
      <c r="P40" s="49" t="s">
        <v>128</v>
      </c>
    </row>
    <row r="41" spans="3:16" x14ac:dyDescent="0.45">
      <c r="C41" s="22" t="s">
        <v>106</v>
      </c>
      <c r="D41" s="21" t="s">
        <v>145</v>
      </c>
      <c r="E41" s="51"/>
      <c r="F41" s="51"/>
      <c r="G41" s="21"/>
      <c r="H41" s="128">
        <f>SUM(G42:G45)</f>
        <v>995</v>
      </c>
      <c r="I41" s="130">
        <v>20</v>
      </c>
      <c r="J41" s="128">
        <f>D6*I41</f>
        <v>1440</v>
      </c>
      <c r="K41" s="128">
        <v>0</v>
      </c>
      <c r="L41" s="132">
        <v>0</v>
      </c>
      <c r="M41" s="128">
        <v>0</v>
      </c>
      <c r="N41" s="57"/>
      <c r="O41" s="134">
        <f>SUM(H41+J41)</f>
        <v>2435</v>
      </c>
      <c r="P41" s="134">
        <f>SUM(K41+M41)</f>
        <v>0</v>
      </c>
    </row>
    <row r="42" spans="3:16" x14ac:dyDescent="0.45">
      <c r="C42" s="61" t="s">
        <v>146</v>
      </c>
      <c r="D42" s="61" t="s">
        <v>220</v>
      </c>
      <c r="E42" s="61">
        <v>100</v>
      </c>
      <c r="F42" s="62">
        <v>1.7</v>
      </c>
      <c r="G42" s="63">
        <f t="shared" ref="G42:G45" si="2">F42*E42</f>
        <v>170</v>
      </c>
      <c r="H42" s="129"/>
      <c r="I42" s="131"/>
      <c r="J42" s="129"/>
      <c r="K42" s="129"/>
      <c r="L42" s="133"/>
      <c r="M42" s="129"/>
      <c r="N42" s="58"/>
      <c r="O42" s="135"/>
      <c r="P42" s="135"/>
    </row>
    <row r="43" spans="3:16" x14ac:dyDescent="0.45">
      <c r="C43" s="61" t="s">
        <v>148</v>
      </c>
      <c r="D43" s="61" t="s">
        <v>149</v>
      </c>
      <c r="E43" s="61">
        <v>2</v>
      </c>
      <c r="F43" s="62">
        <v>35</v>
      </c>
      <c r="G43" s="63">
        <f t="shared" si="2"/>
        <v>70</v>
      </c>
      <c r="H43" s="129"/>
      <c r="I43" s="131"/>
      <c r="J43" s="129"/>
      <c r="K43" s="129"/>
      <c r="L43" s="133"/>
      <c r="M43" s="129"/>
      <c r="N43" s="58"/>
      <c r="O43" s="135"/>
      <c r="P43" s="135"/>
    </row>
    <row r="44" spans="3:16" x14ac:dyDescent="0.45">
      <c r="C44" s="61" t="s">
        <v>150</v>
      </c>
      <c r="D44" s="61" t="s">
        <v>149</v>
      </c>
      <c r="E44" s="61">
        <v>10</v>
      </c>
      <c r="F44" s="62">
        <v>18</v>
      </c>
      <c r="G44" s="63">
        <f t="shared" ref="G44" si="3">F44*E44</f>
        <v>180</v>
      </c>
      <c r="H44" s="129"/>
      <c r="I44" s="131"/>
      <c r="J44" s="129"/>
      <c r="K44" s="129"/>
      <c r="L44" s="133"/>
      <c r="M44" s="129"/>
      <c r="N44" s="58"/>
      <c r="O44" s="135"/>
      <c r="P44" s="135"/>
    </row>
    <row r="45" spans="3:16" x14ac:dyDescent="0.45">
      <c r="C45" s="61" t="s">
        <v>151</v>
      </c>
      <c r="D45" s="61" t="s">
        <v>151</v>
      </c>
      <c r="E45" s="61">
        <v>1</v>
      </c>
      <c r="F45" s="62">
        <v>575</v>
      </c>
      <c r="G45" s="63">
        <f t="shared" si="2"/>
        <v>575</v>
      </c>
      <c r="H45" s="129"/>
      <c r="I45" s="131"/>
      <c r="J45" s="129"/>
      <c r="K45" s="129"/>
      <c r="L45" s="133"/>
      <c r="M45" s="129"/>
      <c r="N45" s="58"/>
      <c r="O45" s="135"/>
      <c r="P45" s="135"/>
    </row>
    <row r="46" spans="3:16" x14ac:dyDescent="0.45">
      <c r="C46" s="22" t="s">
        <v>152</v>
      </c>
      <c r="D46" s="21" t="s">
        <v>153</v>
      </c>
      <c r="E46" s="51"/>
      <c r="F46" s="51"/>
      <c r="G46" s="21"/>
      <c r="H46" s="140">
        <f>SUM(G47:G49)</f>
        <v>3825</v>
      </c>
      <c r="I46" s="130">
        <v>10</v>
      </c>
      <c r="J46" s="140">
        <f>D6*I46</f>
        <v>720</v>
      </c>
      <c r="K46" s="140">
        <f>SUM(G47:G48)</f>
        <v>475</v>
      </c>
      <c r="L46" s="130">
        <v>4</v>
      </c>
      <c r="M46" s="140">
        <f>J46</f>
        <v>720</v>
      </c>
      <c r="N46" s="57"/>
      <c r="O46" s="134">
        <f>SUM(H46+J46)</f>
        <v>4545</v>
      </c>
      <c r="P46" s="134">
        <f>SUM(K46+M46)</f>
        <v>1195</v>
      </c>
    </row>
    <row r="47" spans="3:16" x14ac:dyDescent="0.45">
      <c r="C47" s="61" t="s">
        <v>154</v>
      </c>
      <c r="D47" s="61" t="s">
        <v>149</v>
      </c>
      <c r="E47" s="61">
        <v>5</v>
      </c>
      <c r="F47" s="62">
        <v>45</v>
      </c>
      <c r="G47" s="63">
        <f t="shared" ref="G47:G49" si="4">F47*E47</f>
        <v>225</v>
      </c>
      <c r="H47" s="141"/>
      <c r="I47" s="131"/>
      <c r="J47" s="141"/>
      <c r="K47" s="141"/>
      <c r="L47" s="131"/>
      <c r="M47" s="141"/>
      <c r="N47" s="58"/>
      <c r="O47" s="135"/>
      <c r="P47" s="135"/>
    </row>
    <row r="48" spans="3:16" x14ac:dyDescent="0.45">
      <c r="C48" s="61" t="s">
        <v>155</v>
      </c>
      <c r="D48" s="61" t="s">
        <v>149</v>
      </c>
      <c r="E48" s="61">
        <v>5</v>
      </c>
      <c r="F48" s="62">
        <v>50</v>
      </c>
      <c r="G48" s="63">
        <f t="shared" si="4"/>
        <v>250</v>
      </c>
      <c r="H48" s="141"/>
      <c r="I48" s="131"/>
      <c r="J48" s="141"/>
      <c r="K48" s="141"/>
      <c r="L48" s="131"/>
      <c r="M48" s="141"/>
      <c r="N48" s="58"/>
      <c r="O48" s="135"/>
      <c r="P48" s="135"/>
    </row>
    <row r="49" spans="2:16" x14ac:dyDescent="0.45">
      <c r="C49" s="61" t="s">
        <v>221</v>
      </c>
      <c r="D49" s="61" t="s">
        <v>149</v>
      </c>
      <c r="E49" s="61">
        <v>1</v>
      </c>
      <c r="F49" s="62">
        <v>3350</v>
      </c>
      <c r="G49" s="63">
        <f t="shared" si="4"/>
        <v>3350</v>
      </c>
      <c r="H49" s="155"/>
      <c r="I49" s="148"/>
      <c r="J49" s="155"/>
      <c r="K49" s="155"/>
      <c r="L49" s="148"/>
      <c r="M49" s="155"/>
      <c r="N49" s="58"/>
      <c r="O49" s="150"/>
      <c r="P49" s="150"/>
    </row>
    <row r="50" spans="2:16" x14ac:dyDescent="0.45">
      <c r="C50" s="22" t="s">
        <v>156</v>
      </c>
      <c r="D50" s="21" t="s">
        <v>157</v>
      </c>
      <c r="E50" s="51"/>
      <c r="F50" s="51"/>
      <c r="G50" s="21"/>
      <c r="H50" s="128">
        <f>SUM(G51:G51)</f>
        <v>600</v>
      </c>
      <c r="I50" s="130">
        <v>1.5</v>
      </c>
      <c r="J50" s="151">
        <f>D6</f>
        <v>72</v>
      </c>
      <c r="K50" s="128">
        <f>H50</f>
        <v>600</v>
      </c>
      <c r="L50" s="132">
        <v>1.5</v>
      </c>
      <c r="M50" s="151">
        <f>J50</f>
        <v>72</v>
      </c>
      <c r="N50" s="57"/>
      <c r="O50" s="134">
        <f>SUM(H50+J50)</f>
        <v>672</v>
      </c>
      <c r="P50" s="134">
        <f>SUM(K50+M50)</f>
        <v>672</v>
      </c>
    </row>
    <row r="51" spans="2:16" x14ac:dyDescent="0.45">
      <c r="C51" s="61" t="s">
        <v>158</v>
      </c>
      <c r="D51" s="61" t="s">
        <v>159</v>
      </c>
      <c r="E51" s="61">
        <v>2</v>
      </c>
      <c r="F51" s="62">
        <v>300</v>
      </c>
      <c r="G51" s="63">
        <f t="shared" ref="G51" si="5">F51*E51</f>
        <v>600</v>
      </c>
      <c r="H51" s="129"/>
      <c r="I51" s="131"/>
      <c r="J51" s="129"/>
      <c r="K51" s="129"/>
      <c r="L51" s="133"/>
      <c r="M51" s="129"/>
      <c r="N51" s="58"/>
      <c r="O51" s="135"/>
      <c r="P51" s="135"/>
    </row>
    <row r="52" spans="2:16" x14ac:dyDescent="0.45">
      <c r="C52" s="50" t="s">
        <v>160</v>
      </c>
      <c r="D52" s="51" t="s">
        <v>178</v>
      </c>
      <c r="E52" s="51"/>
      <c r="F52" s="51"/>
      <c r="G52" s="21"/>
      <c r="H52" s="128">
        <f>SUM(G53:G54)</f>
        <v>545</v>
      </c>
      <c r="I52" s="143">
        <f>SUM((E54/$H$7)+8)</f>
        <v>8.9090909090909083</v>
      </c>
      <c r="J52" s="128">
        <f>$D$7*I52</f>
        <v>400.90909090909088</v>
      </c>
      <c r="K52" s="128">
        <f>SUM(G55:G56)</f>
        <v>295</v>
      </c>
      <c r="L52" s="145">
        <v>3</v>
      </c>
      <c r="M52" s="128">
        <f>L52*$D$7</f>
        <v>135</v>
      </c>
      <c r="N52" s="57"/>
      <c r="O52" s="134">
        <f>SUM(H52+J52)</f>
        <v>945.90909090909088</v>
      </c>
      <c r="P52" s="134">
        <f>SUM(K52+M52)</f>
        <v>430</v>
      </c>
    </row>
    <row r="53" spans="2:16" x14ac:dyDescent="0.45">
      <c r="C53" s="61" t="s">
        <v>188</v>
      </c>
      <c r="D53" s="61" t="s">
        <v>222</v>
      </c>
      <c r="E53" s="61">
        <v>100</v>
      </c>
      <c r="F53" s="62">
        <v>0.7</v>
      </c>
      <c r="G53" s="63">
        <f t="shared" ref="G53:G56" si="6">F53*E53</f>
        <v>70</v>
      </c>
      <c r="H53" s="129"/>
      <c r="I53" s="144"/>
      <c r="J53" s="129"/>
      <c r="K53" s="129"/>
      <c r="L53" s="146"/>
      <c r="M53" s="129"/>
      <c r="N53" s="58"/>
      <c r="O53" s="135"/>
      <c r="P53" s="135"/>
    </row>
    <row r="54" spans="2:16" x14ac:dyDescent="0.45">
      <c r="C54" s="61" t="s">
        <v>162</v>
      </c>
      <c r="D54" s="61" t="s">
        <v>223</v>
      </c>
      <c r="E54" s="61">
        <v>100</v>
      </c>
      <c r="F54" s="62">
        <v>4.75</v>
      </c>
      <c r="G54" s="63">
        <f t="shared" si="6"/>
        <v>475</v>
      </c>
      <c r="H54" s="129"/>
      <c r="I54" s="144"/>
      <c r="J54" s="129"/>
      <c r="K54" s="129"/>
      <c r="L54" s="146"/>
      <c r="M54" s="129"/>
      <c r="N54" s="58"/>
      <c r="O54" s="135"/>
      <c r="P54" s="135"/>
    </row>
    <row r="55" spans="2:16" x14ac:dyDescent="0.45">
      <c r="C55" s="64" t="s">
        <v>184</v>
      </c>
      <c r="D55" s="64" t="s">
        <v>185</v>
      </c>
      <c r="E55" s="64">
        <v>100</v>
      </c>
      <c r="F55" s="65">
        <v>0.7</v>
      </c>
      <c r="G55" s="66">
        <f t="shared" si="6"/>
        <v>70</v>
      </c>
      <c r="H55" s="129"/>
      <c r="I55" s="144"/>
      <c r="J55" s="129"/>
      <c r="K55" s="129"/>
      <c r="L55" s="146"/>
      <c r="M55" s="129"/>
      <c r="N55" s="58"/>
      <c r="O55" s="135"/>
      <c r="P55" s="135"/>
    </row>
    <row r="56" spans="2:16" x14ac:dyDescent="0.45">
      <c r="B56" s="47"/>
      <c r="C56" s="64" t="s">
        <v>224</v>
      </c>
      <c r="D56" s="64" t="s">
        <v>225</v>
      </c>
      <c r="E56" s="64">
        <v>100</v>
      </c>
      <c r="F56" s="65">
        <v>2.25</v>
      </c>
      <c r="G56" s="66">
        <f t="shared" si="6"/>
        <v>225</v>
      </c>
      <c r="H56" s="129"/>
      <c r="I56" s="144"/>
      <c r="J56" s="129"/>
      <c r="K56" s="129"/>
      <c r="L56" s="146"/>
      <c r="M56" s="129"/>
      <c r="N56" s="58"/>
      <c r="O56" s="135"/>
      <c r="P56" s="135"/>
    </row>
    <row r="57" spans="2:16" x14ac:dyDescent="0.45">
      <c r="C57" s="50" t="s">
        <v>226</v>
      </c>
      <c r="D57" s="51" t="s">
        <v>227</v>
      </c>
      <c r="E57" s="51"/>
      <c r="F57" s="51"/>
      <c r="G57" s="21"/>
      <c r="H57" s="128">
        <f>SUM(G58:G58)</f>
        <v>455</v>
      </c>
      <c r="I57" s="143">
        <v>4</v>
      </c>
      <c r="J57" s="128">
        <f>$D$6*I57</f>
        <v>288</v>
      </c>
      <c r="K57" s="128">
        <f>SUM(G59:G59)</f>
        <v>2970</v>
      </c>
      <c r="L57" s="145">
        <v>5</v>
      </c>
      <c r="M57" s="128">
        <f>L57*$D$7</f>
        <v>225</v>
      </c>
      <c r="N57" s="57"/>
      <c r="O57" s="134">
        <f>SUM(H57+J57)</f>
        <v>743</v>
      </c>
      <c r="P57" s="134">
        <f>SUM(K57+M57)</f>
        <v>3195</v>
      </c>
    </row>
    <row r="58" spans="2:16" x14ac:dyDescent="0.45">
      <c r="C58" s="61" t="s">
        <v>228</v>
      </c>
      <c r="D58" s="61" t="s">
        <v>229</v>
      </c>
      <c r="E58" s="61">
        <v>1</v>
      </c>
      <c r="F58" s="62">
        <v>455</v>
      </c>
      <c r="G58" s="63">
        <f t="shared" ref="G58:G59" si="7">F58*E58</f>
        <v>455</v>
      </c>
      <c r="H58" s="129"/>
      <c r="I58" s="144"/>
      <c r="J58" s="129"/>
      <c r="K58" s="129"/>
      <c r="L58" s="146"/>
      <c r="M58" s="129"/>
      <c r="N58" s="58"/>
      <c r="O58" s="135"/>
      <c r="P58" s="135"/>
    </row>
    <row r="59" spans="2:16" x14ac:dyDescent="0.45">
      <c r="C59" s="64" t="s">
        <v>230</v>
      </c>
      <c r="D59" s="64" t="s">
        <v>149</v>
      </c>
      <c r="E59" s="64">
        <v>15</v>
      </c>
      <c r="F59" s="65">
        <v>198</v>
      </c>
      <c r="G59" s="66">
        <f t="shared" si="7"/>
        <v>2970</v>
      </c>
      <c r="H59" s="129"/>
      <c r="I59" s="144"/>
      <c r="J59" s="129"/>
      <c r="K59" s="129"/>
      <c r="L59" s="146"/>
      <c r="M59" s="129"/>
      <c r="N59" s="58"/>
      <c r="O59" s="135"/>
      <c r="P59" s="135"/>
    </row>
    <row r="60" spans="2:16" x14ac:dyDescent="0.45">
      <c r="C60" s="43" t="s">
        <v>164</v>
      </c>
      <c r="D60" s="44" t="s">
        <v>165</v>
      </c>
      <c r="E60" s="51"/>
      <c r="F60" s="51"/>
      <c r="G60" s="21"/>
      <c r="H60" s="128">
        <v>0</v>
      </c>
      <c r="I60" s="130">
        <v>0</v>
      </c>
      <c r="J60" s="128">
        <v>0</v>
      </c>
      <c r="K60" s="128">
        <f>SUM(G61:G63)</f>
        <v>5155</v>
      </c>
      <c r="L60" s="132">
        <v>9</v>
      </c>
      <c r="M60" s="128">
        <f>L60*D7</f>
        <v>405</v>
      </c>
      <c r="N60" s="57"/>
      <c r="O60" s="134">
        <f>SUM(H60+J60)</f>
        <v>0</v>
      </c>
      <c r="P60" s="134">
        <f>SUM(K60+M60)</f>
        <v>5560</v>
      </c>
    </row>
    <row r="61" spans="2:16" x14ac:dyDescent="0.45">
      <c r="C61" s="64" t="s">
        <v>164</v>
      </c>
      <c r="D61" s="64" t="s">
        <v>166</v>
      </c>
      <c r="E61" s="64">
        <v>1</v>
      </c>
      <c r="F61" s="65">
        <v>1990</v>
      </c>
      <c r="G61" s="66">
        <f t="shared" ref="G61:G63" si="8">F61*E61</f>
        <v>1990</v>
      </c>
      <c r="H61" s="129"/>
      <c r="I61" s="131"/>
      <c r="J61" s="129"/>
      <c r="K61" s="129"/>
      <c r="L61" s="133"/>
      <c r="M61" s="129"/>
      <c r="N61" s="58"/>
      <c r="O61" s="135"/>
      <c r="P61" s="135"/>
    </row>
    <row r="62" spans="2:16" x14ac:dyDescent="0.45">
      <c r="C62" s="64" t="s">
        <v>164</v>
      </c>
      <c r="D62" s="64" t="s">
        <v>167</v>
      </c>
      <c r="E62" s="64">
        <v>3</v>
      </c>
      <c r="F62" s="65">
        <v>725</v>
      </c>
      <c r="G62" s="66">
        <f t="shared" si="8"/>
        <v>2175</v>
      </c>
      <c r="H62" s="129"/>
      <c r="I62" s="131"/>
      <c r="J62" s="129"/>
      <c r="K62" s="129"/>
      <c r="L62" s="133"/>
      <c r="M62" s="129"/>
      <c r="N62" s="58"/>
      <c r="O62" s="135"/>
      <c r="P62" s="135"/>
    </row>
    <row r="63" spans="2:16" x14ac:dyDescent="0.45">
      <c r="C63" s="64" t="s">
        <v>164</v>
      </c>
      <c r="D63" s="64" t="s">
        <v>168</v>
      </c>
      <c r="E63" s="64">
        <v>1</v>
      </c>
      <c r="F63" s="65">
        <v>990</v>
      </c>
      <c r="G63" s="66">
        <f t="shared" si="8"/>
        <v>990</v>
      </c>
      <c r="H63" s="129"/>
      <c r="I63" s="131"/>
      <c r="J63" s="129"/>
      <c r="K63" s="129"/>
      <c r="L63" s="133"/>
      <c r="M63" s="129"/>
      <c r="N63" s="58"/>
      <c r="O63" s="135"/>
      <c r="P63" s="135"/>
    </row>
    <row r="64" spans="2:16" x14ac:dyDescent="0.45">
      <c r="C64" s="142" t="s">
        <v>133</v>
      </c>
      <c r="D64" s="142"/>
      <c r="E64" s="142"/>
      <c r="F64" s="142"/>
      <c r="G64" s="142"/>
      <c r="H64" s="67">
        <f t="shared" ref="H64:P64" si="9">SUM(H41:H63)</f>
        <v>6420</v>
      </c>
      <c r="I64" s="68">
        <f t="shared" si="9"/>
        <v>44.409090909090907</v>
      </c>
      <c r="J64" s="67">
        <f t="shared" si="9"/>
        <v>2920.909090909091</v>
      </c>
      <c r="K64" s="67">
        <f t="shared" si="9"/>
        <v>9495</v>
      </c>
      <c r="L64" s="68">
        <f t="shared" si="9"/>
        <v>22.5</v>
      </c>
      <c r="M64" s="67">
        <f t="shared" si="9"/>
        <v>1557</v>
      </c>
      <c r="N64" s="67">
        <f t="shared" si="9"/>
        <v>0</v>
      </c>
      <c r="O64" s="67">
        <f t="shared" si="9"/>
        <v>9340.9090909090901</v>
      </c>
      <c r="P64" s="67">
        <f t="shared" si="9"/>
        <v>11052</v>
      </c>
    </row>
    <row r="65" spans="3:20" ht="14.65" thickBot="1" x14ac:dyDescent="0.5"/>
    <row r="66" spans="3:20" x14ac:dyDescent="0.45">
      <c r="C66" s="136" t="s">
        <v>231</v>
      </c>
      <c r="D66" s="136"/>
      <c r="E66" s="136"/>
      <c r="F66" s="136"/>
      <c r="G66" s="137"/>
      <c r="H66" s="60" t="s">
        <v>121</v>
      </c>
      <c r="I66" s="60" t="s">
        <v>122</v>
      </c>
      <c r="J66" s="60" t="s">
        <v>123</v>
      </c>
      <c r="K66" s="48" t="s">
        <v>124</v>
      </c>
      <c r="L66" s="48" t="s">
        <v>125</v>
      </c>
      <c r="M66" s="48" t="s">
        <v>126</v>
      </c>
      <c r="N66" s="48"/>
      <c r="O66" s="60" t="s">
        <v>127</v>
      </c>
      <c r="P66" s="49" t="s">
        <v>128</v>
      </c>
      <c r="R66" s="90"/>
    </row>
    <row r="67" spans="3:20" x14ac:dyDescent="0.45">
      <c r="C67" s="23" t="s">
        <v>170</v>
      </c>
      <c r="D67" s="21" t="s">
        <v>232</v>
      </c>
      <c r="E67" s="51"/>
      <c r="F67" s="51"/>
      <c r="G67" s="21"/>
      <c r="H67" s="140">
        <f>SUM(G68:G69)</f>
        <v>4875</v>
      </c>
      <c r="I67" s="130">
        <f>(E68/H9)</f>
        <v>6.5</v>
      </c>
      <c r="J67" s="140">
        <f>I67*$D$10</f>
        <v>598</v>
      </c>
      <c r="K67" s="140">
        <f>H67</f>
        <v>4875</v>
      </c>
      <c r="L67" s="130">
        <v>6.5</v>
      </c>
      <c r="M67" s="140">
        <f>J67</f>
        <v>598</v>
      </c>
      <c r="N67" s="55"/>
      <c r="O67" s="138">
        <f>SUM(H67+J67)</f>
        <v>5473</v>
      </c>
      <c r="P67" s="138">
        <f>SUM(K67+M67)</f>
        <v>5473</v>
      </c>
    </row>
    <row r="68" spans="3:20" x14ac:dyDescent="0.45">
      <c r="C68" s="52" t="s">
        <v>233</v>
      </c>
      <c r="D68" s="52" t="s">
        <v>234</v>
      </c>
      <c r="E68" s="52">
        <v>1950</v>
      </c>
      <c r="F68" s="53">
        <v>0.4</v>
      </c>
      <c r="G68" s="54">
        <f>F68*E68</f>
        <v>780</v>
      </c>
      <c r="H68" s="141"/>
      <c r="I68" s="131"/>
      <c r="J68" s="141"/>
      <c r="K68" s="141"/>
      <c r="L68" s="131"/>
      <c r="M68" s="141"/>
      <c r="N68" s="56"/>
      <c r="O68" s="139"/>
      <c r="P68" s="139"/>
      <c r="T68" s="89"/>
    </row>
    <row r="69" spans="3:20" x14ac:dyDescent="0.45">
      <c r="C69" s="52" t="s">
        <v>235</v>
      </c>
      <c r="D69" s="52" t="s">
        <v>149</v>
      </c>
      <c r="E69" s="52">
        <v>1950</v>
      </c>
      <c r="F69" s="53">
        <v>2.1</v>
      </c>
      <c r="G69" s="54">
        <f>F69*E69</f>
        <v>4095</v>
      </c>
      <c r="H69" s="155"/>
      <c r="I69" s="131"/>
      <c r="J69" s="155"/>
      <c r="K69" s="155"/>
      <c r="L69" s="148"/>
      <c r="M69" s="155"/>
      <c r="N69" s="56"/>
      <c r="O69" s="154"/>
      <c r="P69" s="154"/>
    </row>
    <row r="70" spans="3:20" x14ac:dyDescent="0.45">
      <c r="C70" s="22" t="s">
        <v>236</v>
      </c>
      <c r="D70" s="21" t="s">
        <v>145</v>
      </c>
      <c r="E70" s="51"/>
      <c r="F70" s="51"/>
      <c r="G70" s="21"/>
      <c r="H70" s="128">
        <f>SUM(G71:G73)</f>
        <v>4561.5</v>
      </c>
      <c r="I70" s="130">
        <f>E71/$H$8</f>
        <v>39</v>
      </c>
      <c r="J70" s="128">
        <f>I70*D6</f>
        <v>2808</v>
      </c>
      <c r="K70" s="128">
        <v>0</v>
      </c>
      <c r="L70" s="132">
        <v>0</v>
      </c>
      <c r="M70" s="128">
        <f>L70*$D$7</f>
        <v>0</v>
      </c>
      <c r="N70" s="57"/>
      <c r="O70" s="134">
        <f>SUM(H70+J70)</f>
        <v>7369.5</v>
      </c>
      <c r="P70" s="134">
        <f>SUM(K70+M70)</f>
        <v>0</v>
      </c>
    </row>
    <row r="71" spans="3:20" x14ac:dyDescent="0.45">
      <c r="C71" s="61" t="s">
        <v>173</v>
      </c>
      <c r="D71" s="61" t="s">
        <v>237</v>
      </c>
      <c r="E71" s="61">
        <v>1950</v>
      </c>
      <c r="F71" s="62">
        <v>1.77</v>
      </c>
      <c r="G71" s="63">
        <f t="shared" ref="G71:G73" si="10">F71*E71</f>
        <v>3451.5</v>
      </c>
      <c r="H71" s="129"/>
      <c r="I71" s="131"/>
      <c r="J71" s="129"/>
      <c r="K71" s="129"/>
      <c r="L71" s="133"/>
      <c r="M71" s="129"/>
      <c r="N71" s="58"/>
      <c r="O71" s="135"/>
      <c r="P71" s="135"/>
    </row>
    <row r="72" spans="3:20" x14ac:dyDescent="0.45">
      <c r="C72" s="61" t="s">
        <v>238</v>
      </c>
      <c r="D72" s="61" t="s">
        <v>175</v>
      </c>
      <c r="E72" s="61">
        <v>20</v>
      </c>
      <c r="F72" s="62">
        <v>18</v>
      </c>
      <c r="G72" s="63">
        <f t="shared" si="10"/>
        <v>360</v>
      </c>
      <c r="H72" s="129"/>
      <c r="I72" s="131"/>
      <c r="J72" s="129"/>
      <c r="K72" s="129"/>
      <c r="L72" s="133"/>
      <c r="M72" s="129"/>
      <c r="N72" s="58"/>
      <c r="O72" s="135"/>
      <c r="P72" s="135"/>
    </row>
    <row r="73" spans="3:20" x14ac:dyDescent="0.45">
      <c r="C73" s="61" t="s">
        <v>151</v>
      </c>
      <c r="D73" s="61" t="s">
        <v>176</v>
      </c>
      <c r="E73" s="61">
        <v>1</v>
      </c>
      <c r="F73" s="62">
        <v>750</v>
      </c>
      <c r="G73" s="63">
        <f t="shared" si="10"/>
        <v>750</v>
      </c>
      <c r="H73" s="129"/>
      <c r="I73" s="131"/>
      <c r="J73" s="129"/>
      <c r="K73" s="129"/>
      <c r="L73" s="133"/>
      <c r="M73" s="129"/>
      <c r="N73" s="58"/>
      <c r="O73" s="135"/>
      <c r="P73" s="135"/>
    </row>
    <row r="74" spans="3:20" x14ac:dyDescent="0.45">
      <c r="C74" s="50" t="s">
        <v>177</v>
      </c>
      <c r="D74" s="51" t="s">
        <v>178</v>
      </c>
      <c r="E74" s="51"/>
      <c r="F74" s="51"/>
      <c r="G74" s="21"/>
      <c r="H74" s="128">
        <f>SUM(G75:G78)</f>
        <v>1338.85</v>
      </c>
      <c r="I74" s="130">
        <v>6</v>
      </c>
      <c r="J74" s="128">
        <f>I74*D6</f>
        <v>432</v>
      </c>
      <c r="K74" s="128">
        <v>0</v>
      </c>
      <c r="L74" s="132">
        <v>0</v>
      </c>
      <c r="M74" s="128">
        <v>0</v>
      </c>
      <c r="N74" s="57"/>
      <c r="O74" s="134">
        <f>SUM(H74+J74)</f>
        <v>1770.85</v>
      </c>
      <c r="P74" s="134">
        <f>SUM(K74+M74)</f>
        <v>0</v>
      </c>
    </row>
    <row r="75" spans="3:20" x14ac:dyDescent="0.45">
      <c r="C75" s="61" t="s">
        <v>202</v>
      </c>
      <c r="D75" s="61" t="s">
        <v>149</v>
      </c>
      <c r="E75" s="61">
        <v>1</v>
      </c>
      <c r="F75" s="62">
        <v>1250</v>
      </c>
      <c r="G75" s="63">
        <f t="shared" ref="G75:G78" si="11">F75*E75</f>
        <v>1250</v>
      </c>
      <c r="H75" s="129"/>
      <c r="I75" s="131"/>
      <c r="J75" s="129"/>
      <c r="K75" s="129"/>
      <c r="L75" s="133"/>
      <c r="M75" s="129"/>
      <c r="N75" s="58"/>
      <c r="O75" s="135"/>
      <c r="P75" s="135"/>
    </row>
    <row r="76" spans="3:20" x14ac:dyDescent="0.45">
      <c r="C76" s="61" t="s">
        <v>239</v>
      </c>
      <c r="D76" s="61" t="s">
        <v>149</v>
      </c>
      <c r="E76" s="61">
        <v>1</v>
      </c>
      <c r="F76" s="62">
        <v>45</v>
      </c>
      <c r="G76" s="63">
        <f t="shared" si="11"/>
        <v>45</v>
      </c>
      <c r="H76" s="129"/>
      <c r="I76" s="131"/>
      <c r="J76" s="129"/>
      <c r="K76" s="129"/>
      <c r="L76" s="133"/>
      <c r="M76" s="129"/>
      <c r="N76" s="58"/>
      <c r="O76" s="135"/>
      <c r="P76" s="135"/>
    </row>
    <row r="77" spans="3:20" x14ac:dyDescent="0.45">
      <c r="C77" s="61" t="s">
        <v>146</v>
      </c>
      <c r="D77" s="61" t="s">
        <v>149</v>
      </c>
      <c r="E77" s="61">
        <v>5</v>
      </c>
      <c r="F77" s="62">
        <v>1.77</v>
      </c>
      <c r="G77" s="63">
        <f t="shared" si="11"/>
        <v>8.85</v>
      </c>
      <c r="H77" s="129"/>
      <c r="I77" s="131"/>
      <c r="J77" s="129"/>
      <c r="K77" s="129"/>
      <c r="L77" s="133"/>
      <c r="M77" s="129"/>
      <c r="N77" s="58"/>
      <c r="O77" s="135"/>
      <c r="P77" s="135"/>
    </row>
    <row r="78" spans="3:20" x14ac:dyDescent="0.45">
      <c r="C78" s="61" t="s">
        <v>148</v>
      </c>
      <c r="D78" s="61" t="s">
        <v>149</v>
      </c>
      <c r="E78" s="61">
        <v>1</v>
      </c>
      <c r="F78" s="62">
        <v>35</v>
      </c>
      <c r="G78" s="63">
        <f t="shared" si="11"/>
        <v>35</v>
      </c>
      <c r="H78" s="129"/>
      <c r="I78" s="131"/>
      <c r="J78" s="129"/>
      <c r="K78" s="129"/>
      <c r="L78" s="133"/>
      <c r="M78" s="129"/>
      <c r="N78" s="58"/>
      <c r="O78" s="135"/>
      <c r="P78" s="135"/>
    </row>
    <row r="79" spans="3:20" x14ac:dyDescent="0.45">
      <c r="C79" s="50" t="s">
        <v>181</v>
      </c>
      <c r="D79" s="51" t="s">
        <v>178</v>
      </c>
      <c r="E79" s="51"/>
      <c r="F79" s="51"/>
      <c r="G79" s="21"/>
      <c r="H79" s="128">
        <v>0</v>
      </c>
      <c r="I79" s="130">
        <v>0</v>
      </c>
      <c r="J79" s="128">
        <v>0</v>
      </c>
      <c r="K79" s="128">
        <f>SUM(G80:G80)</f>
        <v>8775</v>
      </c>
      <c r="L79" s="145">
        <v>6</v>
      </c>
      <c r="M79" s="128">
        <f>L79*D7</f>
        <v>270</v>
      </c>
      <c r="N79" s="57"/>
      <c r="O79" s="134">
        <f>SUM(H79+J79)</f>
        <v>0</v>
      </c>
      <c r="P79" s="134">
        <f>SUM(K79+M79)</f>
        <v>9045</v>
      </c>
    </row>
    <row r="80" spans="3:20" x14ac:dyDescent="0.45">
      <c r="C80" s="64" t="s">
        <v>182</v>
      </c>
      <c r="D80" s="64" t="s">
        <v>159</v>
      </c>
      <c r="E80" s="64">
        <v>3900</v>
      </c>
      <c r="F80" s="65">
        <v>2.25</v>
      </c>
      <c r="G80" s="66">
        <f t="shared" ref="G80" si="12">F80*E80</f>
        <v>8775</v>
      </c>
      <c r="H80" s="129"/>
      <c r="I80" s="131"/>
      <c r="J80" s="129"/>
      <c r="K80" s="129"/>
      <c r="L80" s="146"/>
      <c r="M80" s="129"/>
      <c r="N80" s="58"/>
      <c r="O80" s="135"/>
      <c r="P80" s="135"/>
    </row>
    <row r="81" spans="3:16" x14ac:dyDescent="0.45">
      <c r="C81" s="50" t="s">
        <v>183</v>
      </c>
      <c r="D81" s="51" t="s">
        <v>178</v>
      </c>
      <c r="E81" s="51"/>
      <c r="F81" s="51"/>
      <c r="G81" s="21"/>
      <c r="H81" s="128">
        <f>SUM(G82:G83)</f>
        <v>802.5</v>
      </c>
      <c r="I81" s="143">
        <f>E82/$H$7</f>
        <v>17.727272727272727</v>
      </c>
      <c r="J81" s="128">
        <f>$D$7*I81</f>
        <v>797.72727272727275</v>
      </c>
      <c r="K81" s="128">
        <f>SUM(G84:G85)</f>
        <v>802.5</v>
      </c>
      <c r="L81" s="145">
        <f>E84/$H$7</f>
        <v>17.727272727272727</v>
      </c>
      <c r="M81" s="128">
        <f>L81*$D$7</f>
        <v>797.72727272727275</v>
      </c>
      <c r="N81" s="57"/>
      <c r="O81" s="134">
        <f>SUM(H81+J81)</f>
        <v>1600.2272727272727</v>
      </c>
      <c r="P81" s="134">
        <f>SUM(K81+M81)</f>
        <v>1600.2272727272727</v>
      </c>
    </row>
    <row r="82" spans="3:16" x14ac:dyDescent="0.45">
      <c r="C82" s="61" t="s">
        <v>184</v>
      </c>
      <c r="D82" s="61" t="s">
        <v>185</v>
      </c>
      <c r="E82" s="61">
        <v>1950</v>
      </c>
      <c r="F82" s="62">
        <v>0.35</v>
      </c>
      <c r="G82" s="63">
        <f t="shared" ref="G82:G85" si="13">F82*E82</f>
        <v>682.5</v>
      </c>
      <c r="H82" s="129"/>
      <c r="I82" s="144"/>
      <c r="J82" s="129"/>
      <c r="K82" s="129"/>
      <c r="L82" s="146"/>
      <c r="M82" s="129"/>
      <c r="N82" s="58"/>
      <c r="O82" s="135"/>
      <c r="P82" s="135"/>
    </row>
    <row r="83" spans="3:16" x14ac:dyDescent="0.45">
      <c r="C83" s="61" t="s">
        <v>186</v>
      </c>
      <c r="D83" s="61" t="s">
        <v>187</v>
      </c>
      <c r="E83" s="61">
        <v>24</v>
      </c>
      <c r="F83" s="62">
        <v>5</v>
      </c>
      <c r="G83" s="63">
        <f t="shared" si="13"/>
        <v>120</v>
      </c>
      <c r="H83" s="129"/>
      <c r="I83" s="144"/>
      <c r="J83" s="129"/>
      <c r="K83" s="129"/>
      <c r="L83" s="146"/>
      <c r="M83" s="129"/>
      <c r="N83" s="58"/>
      <c r="O83" s="135"/>
      <c r="P83" s="135"/>
    </row>
    <row r="84" spans="3:16" x14ac:dyDescent="0.45">
      <c r="C84" s="64" t="s">
        <v>188</v>
      </c>
      <c r="D84" s="64" t="s">
        <v>185</v>
      </c>
      <c r="E84" s="64">
        <v>1950</v>
      </c>
      <c r="F84" s="65">
        <v>0.35</v>
      </c>
      <c r="G84" s="66">
        <f t="shared" si="13"/>
        <v>682.5</v>
      </c>
      <c r="H84" s="129"/>
      <c r="I84" s="144"/>
      <c r="J84" s="129"/>
      <c r="K84" s="129"/>
      <c r="L84" s="146"/>
      <c r="M84" s="129"/>
      <c r="N84" s="58"/>
      <c r="O84" s="135"/>
      <c r="P84" s="135"/>
    </row>
    <row r="85" spans="3:16" x14ac:dyDescent="0.45">
      <c r="C85" s="64" t="s">
        <v>186</v>
      </c>
      <c r="D85" s="64" t="s">
        <v>187</v>
      </c>
      <c r="E85" s="64">
        <v>24</v>
      </c>
      <c r="F85" s="65">
        <v>5</v>
      </c>
      <c r="G85" s="66">
        <f t="shared" si="13"/>
        <v>120</v>
      </c>
      <c r="H85" s="129"/>
      <c r="I85" s="144"/>
      <c r="J85" s="129"/>
      <c r="K85" s="129"/>
      <c r="L85" s="146"/>
      <c r="M85" s="129"/>
      <c r="N85" s="58"/>
      <c r="O85" s="135"/>
      <c r="P85" s="135"/>
    </row>
    <row r="86" spans="3:16" x14ac:dyDescent="0.45">
      <c r="C86" s="50" t="s">
        <v>109</v>
      </c>
      <c r="D86" s="51" t="s">
        <v>178</v>
      </c>
      <c r="E86" s="51"/>
      <c r="F86" s="51"/>
      <c r="G86" s="21"/>
      <c r="H86" s="128">
        <f>SUM(G87:G87)</f>
        <v>9262.5</v>
      </c>
      <c r="I86" s="130">
        <f>E87/H6</f>
        <v>65</v>
      </c>
      <c r="J86" s="128">
        <f>$D$7*I86</f>
        <v>2925</v>
      </c>
      <c r="K86" s="128">
        <v>0</v>
      </c>
      <c r="L86" s="132">
        <v>0</v>
      </c>
      <c r="M86" s="128">
        <v>0</v>
      </c>
      <c r="N86" s="57"/>
      <c r="O86" s="134">
        <f>SUM(H86+J86)</f>
        <v>12187.5</v>
      </c>
      <c r="P86" s="134">
        <f>SUM(K86+M86)</f>
        <v>0</v>
      </c>
    </row>
    <row r="87" spans="3:16" x14ac:dyDescent="0.45">
      <c r="C87" s="61" t="s">
        <v>189</v>
      </c>
      <c r="D87" s="61" t="s">
        <v>196</v>
      </c>
      <c r="E87" s="61">
        <v>1950</v>
      </c>
      <c r="F87" s="62">
        <v>4.75</v>
      </c>
      <c r="G87" s="63">
        <f t="shared" ref="G87" si="14">F87*E87</f>
        <v>9262.5</v>
      </c>
      <c r="H87" s="129"/>
      <c r="I87" s="131"/>
      <c r="J87" s="129"/>
      <c r="K87" s="129"/>
      <c r="L87" s="133"/>
      <c r="M87" s="129"/>
      <c r="N87" s="58"/>
      <c r="O87" s="135"/>
      <c r="P87" s="135"/>
    </row>
    <row r="88" spans="3:16" x14ac:dyDescent="0.45">
      <c r="C88" s="50" t="s">
        <v>191</v>
      </c>
      <c r="D88" s="51" t="s">
        <v>178</v>
      </c>
      <c r="E88" s="51"/>
      <c r="F88" s="51"/>
      <c r="G88" s="21"/>
      <c r="H88" s="128">
        <v>0</v>
      </c>
      <c r="I88" s="130">
        <v>0</v>
      </c>
      <c r="J88" s="128">
        <v>0</v>
      </c>
      <c r="K88" s="128">
        <f>SUM(G89:G89)</f>
        <v>3300</v>
      </c>
      <c r="L88" s="132">
        <v>0.25</v>
      </c>
      <c r="M88" s="128">
        <f>D7*L88</f>
        <v>11.25</v>
      </c>
      <c r="N88" s="57"/>
      <c r="O88" s="134">
        <f>SUM(H88+J88)</f>
        <v>0</v>
      </c>
      <c r="P88" s="134">
        <f>SUM(K88+M88)</f>
        <v>3311.25</v>
      </c>
    </row>
    <row r="89" spans="3:16" x14ac:dyDescent="0.45">
      <c r="C89" s="64" t="s">
        <v>192</v>
      </c>
      <c r="D89" s="64" t="s">
        <v>193</v>
      </c>
      <c r="E89" s="64">
        <v>2</v>
      </c>
      <c r="F89" s="65">
        <v>1650</v>
      </c>
      <c r="G89" s="66">
        <f t="shared" ref="G89" si="15">F89*E89</f>
        <v>3300</v>
      </c>
      <c r="H89" s="147"/>
      <c r="I89" s="148"/>
      <c r="J89" s="147"/>
      <c r="K89" s="147"/>
      <c r="L89" s="149"/>
      <c r="M89" s="147"/>
      <c r="N89" s="59"/>
      <c r="O89" s="150"/>
      <c r="P89" s="150"/>
    </row>
    <row r="90" spans="3:16" x14ac:dyDescent="0.45">
      <c r="C90" s="142" t="s">
        <v>133</v>
      </c>
      <c r="D90" s="142"/>
      <c r="E90" s="142"/>
      <c r="F90" s="142"/>
      <c r="G90" s="142"/>
      <c r="H90" s="67">
        <f>SUM(H67:H89)</f>
        <v>20840.349999999999</v>
      </c>
      <c r="I90" s="68">
        <f t="shared" ref="I90:P90" si="16">SUM(I67:I89)</f>
        <v>134.22727272727272</v>
      </c>
      <c r="J90" s="67">
        <f t="shared" si="16"/>
        <v>7560.727272727273</v>
      </c>
      <c r="K90" s="67">
        <f t="shared" si="16"/>
        <v>17752.5</v>
      </c>
      <c r="L90" s="68">
        <f t="shared" si="16"/>
        <v>30.477272727272727</v>
      </c>
      <c r="M90" s="67">
        <f t="shared" si="16"/>
        <v>1676.9772727272727</v>
      </c>
      <c r="N90" s="67">
        <f t="shared" si="16"/>
        <v>0</v>
      </c>
      <c r="O90" s="67">
        <f t="shared" si="16"/>
        <v>28401.077272727271</v>
      </c>
      <c r="P90" s="67">
        <f t="shared" si="16"/>
        <v>19429.477272727272</v>
      </c>
    </row>
    <row r="91" spans="3:16" ht="14.65" thickBot="1" x14ac:dyDescent="0.5"/>
    <row r="92" spans="3:16" x14ac:dyDescent="0.45">
      <c r="C92" s="136" t="s">
        <v>240</v>
      </c>
      <c r="D92" s="136"/>
      <c r="E92" s="136"/>
      <c r="F92" s="136"/>
      <c r="G92" s="137"/>
      <c r="H92" s="60" t="s">
        <v>121</v>
      </c>
      <c r="I92" s="60" t="s">
        <v>122</v>
      </c>
      <c r="J92" s="60" t="s">
        <v>123</v>
      </c>
      <c r="K92" s="48" t="s">
        <v>124</v>
      </c>
      <c r="L92" s="48" t="s">
        <v>125</v>
      </c>
      <c r="M92" s="48" t="s">
        <v>126</v>
      </c>
      <c r="N92" s="48"/>
      <c r="O92" s="60" t="s">
        <v>127</v>
      </c>
      <c r="P92" s="49" t="s">
        <v>128</v>
      </c>
    </row>
    <row r="93" spans="3:16" x14ac:dyDescent="0.45">
      <c r="C93" s="23" t="s">
        <v>170</v>
      </c>
      <c r="D93" s="21" t="s">
        <v>232</v>
      </c>
      <c r="E93" s="51"/>
      <c r="F93" s="51"/>
      <c r="G93" s="21"/>
      <c r="H93" s="140">
        <f>SUM(G94:G95)</f>
        <v>1750</v>
      </c>
      <c r="I93" s="143">
        <f>(E94/$H$9)</f>
        <v>2.3333333333333335</v>
      </c>
      <c r="J93" s="140">
        <f>I93*$D$10</f>
        <v>214.66666666666669</v>
      </c>
      <c r="K93" s="140">
        <f>H93</f>
        <v>1750</v>
      </c>
      <c r="L93" s="130">
        <v>2.2999999999999998</v>
      </c>
      <c r="M93" s="140">
        <f>J93</f>
        <v>214.66666666666669</v>
      </c>
      <c r="N93" s="55"/>
      <c r="O93" s="138">
        <f>SUM(H93+J93)</f>
        <v>1964.6666666666667</v>
      </c>
      <c r="P93" s="138">
        <f>SUM(K93+M93)</f>
        <v>1964.6666666666667</v>
      </c>
    </row>
    <row r="94" spans="3:16" x14ac:dyDescent="0.45">
      <c r="C94" s="52" t="s">
        <v>233</v>
      </c>
      <c r="D94" s="52" t="s">
        <v>234</v>
      </c>
      <c r="E94" s="52">
        <v>700</v>
      </c>
      <c r="F94" s="53">
        <v>0.4</v>
      </c>
      <c r="G94" s="54">
        <f>F94*E94</f>
        <v>280</v>
      </c>
      <c r="H94" s="141"/>
      <c r="I94" s="144"/>
      <c r="J94" s="141"/>
      <c r="K94" s="141"/>
      <c r="L94" s="131"/>
      <c r="M94" s="141"/>
      <c r="N94" s="56"/>
      <c r="O94" s="139"/>
      <c r="P94" s="139"/>
    </row>
    <row r="95" spans="3:16" x14ac:dyDescent="0.45">
      <c r="C95" s="52" t="s">
        <v>235</v>
      </c>
      <c r="D95" s="52" t="s">
        <v>149</v>
      </c>
      <c r="E95" s="52">
        <v>700</v>
      </c>
      <c r="F95" s="53">
        <v>2.1</v>
      </c>
      <c r="G95" s="54">
        <f>F95*E95</f>
        <v>1470</v>
      </c>
      <c r="H95" s="155"/>
      <c r="I95" s="144"/>
      <c r="J95" s="155"/>
      <c r="K95" s="155"/>
      <c r="L95" s="148"/>
      <c r="M95" s="155"/>
      <c r="N95" s="56"/>
      <c r="O95" s="154"/>
      <c r="P95" s="154"/>
    </row>
    <row r="96" spans="3:16" x14ac:dyDescent="0.45">
      <c r="C96" s="22" t="s">
        <v>106</v>
      </c>
      <c r="D96" s="21" t="s">
        <v>145</v>
      </c>
      <c r="E96" s="51"/>
      <c r="F96" s="51"/>
      <c r="G96" s="21"/>
      <c r="H96" s="128">
        <f>SUM(G97:G99)</f>
        <v>1504</v>
      </c>
      <c r="I96" s="152">
        <f>E97/$H$8</f>
        <v>14</v>
      </c>
      <c r="J96" s="151">
        <f>I96*$D$6</f>
        <v>1008</v>
      </c>
      <c r="K96" s="128">
        <v>0</v>
      </c>
      <c r="L96" s="132">
        <v>0</v>
      </c>
      <c r="M96" s="128">
        <f>L96*$D$7</f>
        <v>0</v>
      </c>
      <c r="N96" s="57"/>
      <c r="O96" s="134">
        <f>SUM(H96+J96)</f>
        <v>2512</v>
      </c>
      <c r="P96" s="134">
        <f>SUM(K96+M96)</f>
        <v>0</v>
      </c>
    </row>
    <row r="97" spans="3:16" x14ac:dyDescent="0.45">
      <c r="C97" s="61" t="s">
        <v>173</v>
      </c>
      <c r="D97" s="61" t="s">
        <v>237</v>
      </c>
      <c r="E97" s="61">
        <v>700</v>
      </c>
      <c r="F97" s="62">
        <v>1.77</v>
      </c>
      <c r="G97" s="63">
        <f t="shared" ref="G97:G99" si="17">F97*E97</f>
        <v>1239</v>
      </c>
      <c r="H97" s="129"/>
      <c r="I97" s="153"/>
      <c r="J97" s="129"/>
      <c r="K97" s="129"/>
      <c r="L97" s="133"/>
      <c r="M97" s="129"/>
      <c r="N97" s="58"/>
      <c r="O97" s="135"/>
      <c r="P97" s="135"/>
    </row>
    <row r="98" spans="3:16" x14ac:dyDescent="0.45">
      <c r="C98" s="61" t="s">
        <v>150</v>
      </c>
      <c r="D98" s="61" t="s">
        <v>175</v>
      </c>
      <c r="E98" s="61">
        <v>5</v>
      </c>
      <c r="F98" s="62">
        <v>18</v>
      </c>
      <c r="G98" s="63">
        <f t="shared" si="17"/>
        <v>90</v>
      </c>
      <c r="H98" s="129"/>
      <c r="I98" s="153"/>
      <c r="J98" s="129"/>
      <c r="K98" s="129"/>
      <c r="L98" s="133"/>
      <c r="M98" s="129"/>
      <c r="N98" s="58"/>
      <c r="O98" s="135"/>
      <c r="P98" s="135"/>
    </row>
    <row r="99" spans="3:16" x14ac:dyDescent="0.45">
      <c r="C99" s="61" t="s">
        <v>151</v>
      </c>
      <c r="D99" s="61" t="s">
        <v>176</v>
      </c>
      <c r="E99" s="61">
        <v>1</v>
      </c>
      <c r="F99" s="62">
        <v>175</v>
      </c>
      <c r="G99" s="63">
        <f t="shared" si="17"/>
        <v>175</v>
      </c>
      <c r="H99" s="129"/>
      <c r="I99" s="153"/>
      <c r="J99" s="129"/>
      <c r="K99" s="129"/>
      <c r="L99" s="133"/>
      <c r="M99" s="129"/>
      <c r="N99" s="58"/>
      <c r="O99" s="135"/>
      <c r="P99" s="135"/>
    </row>
    <row r="100" spans="3:16" x14ac:dyDescent="0.45">
      <c r="C100" s="50" t="s">
        <v>177</v>
      </c>
      <c r="D100" s="51" t="s">
        <v>178</v>
      </c>
      <c r="E100" s="51"/>
      <c r="F100" s="51"/>
      <c r="G100" s="21"/>
      <c r="H100" s="128">
        <f>SUM(G101:G104)</f>
        <v>481.77</v>
      </c>
      <c r="I100" s="130">
        <v>8</v>
      </c>
      <c r="J100" s="128">
        <f>I100*$D$6</f>
        <v>576</v>
      </c>
      <c r="K100" s="128">
        <v>0</v>
      </c>
      <c r="L100" s="132">
        <v>0</v>
      </c>
      <c r="M100" s="128">
        <v>0</v>
      </c>
      <c r="N100" s="57"/>
      <c r="O100" s="134">
        <f>SUM(H100+J100)</f>
        <v>1057.77</v>
      </c>
      <c r="P100" s="134">
        <f>SUM(K100+M100)</f>
        <v>0</v>
      </c>
    </row>
    <row r="101" spans="3:16" x14ac:dyDescent="0.45">
      <c r="C101" s="61" t="s">
        <v>179</v>
      </c>
      <c r="D101" s="61" t="s">
        <v>149</v>
      </c>
      <c r="E101" s="61">
        <v>1</v>
      </c>
      <c r="F101" s="62">
        <v>355</v>
      </c>
      <c r="G101" s="63">
        <f t="shared" ref="G101:G104" si="18">F101*E101</f>
        <v>355</v>
      </c>
      <c r="H101" s="129"/>
      <c r="I101" s="131"/>
      <c r="J101" s="129"/>
      <c r="K101" s="129"/>
      <c r="L101" s="133"/>
      <c r="M101" s="129"/>
      <c r="N101" s="58"/>
      <c r="O101" s="135"/>
      <c r="P101" s="135"/>
    </row>
    <row r="102" spans="3:16" x14ac:dyDescent="0.45">
      <c r="C102" s="61" t="s">
        <v>180</v>
      </c>
      <c r="D102" s="61" t="s">
        <v>149</v>
      </c>
      <c r="E102" s="61">
        <v>2</v>
      </c>
      <c r="F102" s="62">
        <v>45</v>
      </c>
      <c r="G102" s="63">
        <f t="shared" si="18"/>
        <v>90</v>
      </c>
      <c r="H102" s="129"/>
      <c r="I102" s="131"/>
      <c r="J102" s="129"/>
      <c r="K102" s="129"/>
      <c r="L102" s="133"/>
      <c r="M102" s="129"/>
      <c r="N102" s="58"/>
      <c r="O102" s="135"/>
      <c r="P102" s="135"/>
    </row>
    <row r="103" spans="3:16" x14ac:dyDescent="0.45">
      <c r="C103" s="61" t="s">
        <v>146</v>
      </c>
      <c r="D103" s="61" t="s">
        <v>149</v>
      </c>
      <c r="E103" s="61">
        <v>1</v>
      </c>
      <c r="F103" s="62">
        <v>1.77</v>
      </c>
      <c r="G103" s="63">
        <f t="shared" si="18"/>
        <v>1.77</v>
      </c>
      <c r="H103" s="129"/>
      <c r="I103" s="131"/>
      <c r="J103" s="129"/>
      <c r="K103" s="129"/>
      <c r="L103" s="133"/>
      <c r="M103" s="129"/>
      <c r="N103" s="58"/>
      <c r="O103" s="135"/>
      <c r="P103" s="135"/>
    </row>
    <row r="104" spans="3:16" x14ac:dyDescent="0.45">
      <c r="C104" s="61" t="s">
        <v>148</v>
      </c>
      <c r="D104" s="61" t="s">
        <v>149</v>
      </c>
      <c r="E104" s="61">
        <v>1</v>
      </c>
      <c r="F104" s="62">
        <v>35</v>
      </c>
      <c r="G104" s="63">
        <f t="shared" si="18"/>
        <v>35</v>
      </c>
      <c r="H104" s="129"/>
      <c r="I104" s="131"/>
      <c r="J104" s="129"/>
      <c r="K104" s="129"/>
      <c r="L104" s="133"/>
      <c r="M104" s="129"/>
      <c r="N104" s="58"/>
      <c r="O104" s="135"/>
      <c r="P104" s="135"/>
    </row>
    <row r="105" spans="3:16" x14ac:dyDescent="0.45">
      <c r="C105" s="50" t="s">
        <v>181</v>
      </c>
      <c r="D105" s="51" t="s">
        <v>178</v>
      </c>
      <c r="E105" s="51"/>
      <c r="F105" s="51"/>
      <c r="G105" s="21"/>
      <c r="H105" s="128">
        <v>0</v>
      </c>
      <c r="I105" s="130">
        <v>0</v>
      </c>
      <c r="J105" s="128">
        <v>0</v>
      </c>
      <c r="K105" s="128">
        <f>SUM(G106:G106)</f>
        <v>1372</v>
      </c>
      <c r="L105" s="145">
        <v>3</v>
      </c>
      <c r="M105" s="128">
        <f>L105*$D$7</f>
        <v>135</v>
      </c>
      <c r="N105" s="57"/>
      <c r="O105" s="134">
        <f>SUM(H105+J105)</f>
        <v>0</v>
      </c>
      <c r="P105" s="134">
        <f>SUM(K105+M105)</f>
        <v>1507</v>
      </c>
    </row>
    <row r="106" spans="3:16" x14ac:dyDescent="0.45">
      <c r="C106" s="64" t="s">
        <v>182</v>
      </c>
      <c r="D106" s="64" t="s">
        <v>159</v>
      </c>
      <c r="E106" s="64">
        <v>700</v>
      </c>
      <c r="F106" s="65">
        <v>1.96</v>
      </c>
      <c r="G106" s="66">
        <f t="shared" ref="G106" si="19">F106*E106</f>
        <v>1372</v>
      </c>
      <c r="H106" s="129"/>
      <c r="I106" s="131"/>
      <c r="J106" s="129"/>
      <c r="K106" s="129"/>
      <c r="L106" s="146"/>
      <c r="M106" s="129"/>
      <c r="N106" s="58"/>
      <c r="O106" s="135"/>
      <c r="P106" s="135"/>
    </row>
    <row r="107" spans="3:16" x14ac:dyDescent="0.45">
      <c r="C107" s="50" t="s">
        <v>183</v>
      </c>
      <c r="D107" s="51" t="s">
        <v>178</v>
      </c>
      <c r="E107" s="51"/>
      <c r="F107" s="51"/>
      <c r="G107" s="21"/>
      <c r="H107" s="128">
        <f>SUM(G108:G109)</f>
        <v>365</v>
      </c>
      <c r="I107" s="143">
        <f>E108/$H$7</f>
        <v>6.3636363636363633</v>
      </c>
      <c r="J107" s="128">
        <f>$D$7*I107</f>
        <v>286.36363636363637</v>
      </c>
      <c r="K107" s="128">
        <f>SUM(G110:G111)</f>
        <v>365</v>
      </c>
      <c r="L107" s="145">
        <f>E110/$H$7</f>
        <v>6.3636363636363633</v>
      </c>
      <c r="M107" s="128">
        <f>L107*$D$7</f>
        <v>286.36363636363637</v>
      </c>
      <c r="N107" s="57"/>
      <c r="O107" s="134">
        <f>SUM(H107+J107)</f>
        <v>651.36363636363637</v>
      </c>
      <c r="P107" s="134">
        <f>SUM(K107+M107)</f>
        <v>651.36363636363637</v>
      </c>
    </row>
    <row r="108" spans="3:16" x14ac:dyDescent="0.45">
      <c r="C108" s="61" t="s">
        <v>184</v>
      </c>
      <c r="D108" s="61" t="s">
        <v>185</v>
      </c>
      <c r="E108" s="61">
        <v>700</v>
      </c>
      <c r="F108" s="62">
        <v>0.35</v>
      </c>
      <c r="G108" s="63">
        <f t="shared" ref="G108:G111" si="20">F108*E108</f>
        <v>244.99999999999997</v>
      </c>
      <c r="H108" s="129"/>
      <c r="I108" s="144"/>
      <c r="J108" s="129"/>
      <c r="K108" s="129"/>
      <c r="L108" s="146"/>
      <c r="M108" s="129"/>
      <c r="N108" s="58"/>
      <c r="O108" s="135"/>
      <c r="P108" s="135"/>
    </row>
    <row r="109" spans="3:16" x14ac:dyDescent="0.45">
      <c r="C109" s="61" t="s">
        <v>186</v>
      </c>
      <c r="D109" s="61" t="s">
        <v>187</v>
      </c>
      <c r="E109" s="61">
        <v>24</v>
      </c>
      <c r="F109" s="62">
        <v>5</v>
      </c>
      <c r="G109" s="63">
        <f t="shared" si="20"/>
        <v>120</v>
      </c>
      <c r="H109" s="129"/>
      <c r="I109" s="144"/>
      <c r="J109" s="129"/>
      <c r="K109" s="129"/>
      <c r="L109" s="146"/>
      <c r="M109" s="129"/>
      <c r="N109" s="58"/>
      <c r="O109" s="135"/>
      <c r="P109" s="135"/>
    </row>
    <row r="110" spans="3:16" x14ac:dyDescent="0.45">
      <c r="C110" s="64" t="s">
        <v>188</v>
      </c>
      <c r="D110" s="64" t="s">
        <v>185</v>
      </c>
      <c r="E110" s="64">
        <v>700</v>
      </c>
      <c r="F110" s="65">
        <v>0.35</v>
      </c>
      <c r="G110" s="66">
        <f t="shared" si="20"/>
        <v>244.99999999999997</v>
      </c>
      <c r="H110" s="129"/>
      <c r="I110" s="144"/>
      <c r="J110" s="129"/>
      <c r="K110" s="129"/>
      <c r="L110" s="146"/>
      <c r="M110" s="129"/>
      <c r="N110" s="58"/>
      <c r="O110" s="135"/>
      <c r="P110" s="135"/>
    </row>
    <row r="111" spans="3:16" x14ac:dyDescent="0.45">
      <c r="C111" s="64" t="s">
        <v>186</v>
      </c>
      <c r="D111" s="64" t="s">
        <v>187</v>
      </c>
      <c r="E111" s="64">
        <v>24</v>
      </c>
      <c r="F111" s="65">
        <v>5</v>
      </c>
      <c r="G111" s="66">
        <f t="shared" si="20"/>
        <v>120</v>
      </c>
      <c r="H111" s="129"/>
      <c r="I111" s="144"/>
      <c r="J111" s="129"/>
      <c r="K111" s="129"/>
      <c r="L111" s="146"/>
      <c r="M111" s="129"/>
      <c r="N111" s="58"/>
      <c r="O111" s="135"/>
      <c r="P111" s="135"/>
    </row>
    <row r="112" spans="3:16" x14ac:dyDescent="0.45">
      <c r="C112" s="50" t="s">
        <v>109</v>
      </c>
      <c r="D112" s="51" t="s">
        <v>178</v>
      </c>
      <c r="E112" s="51"/>
      <c r="F112" s="51"/>
      <c r="G112" s="21"/>
      <c r="H112" s="128">
        <f>SUM(G113:G113)</f>
        <v>2170</v>
      </c>
      <c r="I112" s="152">
        <f>E113/$H$6</f>
        <v>23.333333333333332</v>
      </c>
      <c r="J112" s="151">
        <f>$D$7*I112</f>
        <v>1050</v>
      </c>
      <c r="K112" s="128">
        <v>0</v>
      </c>
      <c r="L112" s="132">
        <v>0</v>
      </c>
      <c r="M112" s="128">
        <v>0</v>
      </c>
      <c r="N112" s="57"/>
      <c r="O112" s="134">
        <f>SUM(H112+J112)</f>
        <v>3220</v>
      </c>
      <c r="P112" s="134">
        <f>SUM(K112+M112)</f>
        <v>0</v>
      </c>
    </row>
    <row r="113" spans="3:16" x14ac:dyDescent="0.45">
      <c r="C113" s="61" t="s">
        <v>195</v>
      </c>
      <c r="D113" s="61" t="s">
        <v>196</v>
      </c>
      <c r="E113" s="61">
        <v>700</v>
      </c>
      <c r="F113" s="62">
        <v>3.1</v>
      </c>
      <c r="G113" s="63">
        <f t="shared" ref="G113" si="21">F113*E113</f>
        <v>2170</v>
      </c>
      <c r="H113" s="129"/>
      <c r="I113" s="153"/>
      <c r="J113" s="129"/>
      <c r="K113" s="129"/>
      <c r="L113" s="133"/>
      <c r="M113" s="129"/>
      <c r="N113" s="58"/>
      <c r="O113" s="135"/>
      <c r="P113" s="135"/>
    </row>
    <row r="114" spans="3:16" x14ac:dyDescent="0.45">
      <c r="C114" s="50" t="s">
        <v>191</v>
      </c>
      <c r="D114" s="51" t="s">
        <v>178</v>
      </c>
      <c r="E114" s="51"/>
      <c r="F114" s="51"/>
      <c r="G114" s="21"/>
      <c r="H114" s="128">
        <v>0</v>
      </c>
      <c r="I114" s="130">
        <v>0</v>
      </c>
      <c r="J114" s="128">
        <v>0</v>
      </c>
      <c r="K114" s="128">
        <f>SUM(G115:G115)</f>
        <v>1650</v>
      </c>
      <c r="L114" s="132">
        <v>0.25</v>
      </c>
      <c r="M114" s="128">
        <f>D33*L114</f>
        <v>0</v>
      </c>
      <c r="N114" s="57"/>
      <c r="O114" s="134">
        <f>SUM(H114+J114)</f>
        <v>0</v>
      </c>
      <c r="P114" s="134">
        <f>SUM(K114+M114)</f>
        <v>1650</v>
      </c>
    </row>
    <row r="115" spans="3:16" x14ac:dyDescent="0.45">
      <c r="C115" s="64" t="s">
        <v>192</v>
      </c>
      <c r="D115" s="64" t="s">
        <v>193</v>
      </c>
      <c r="E115" s="64">
        <v>1</v>
      </c>
      <c r="F115" s="65">
        <v>1650</v>
      </c>
      <c r="G115" s="66">
        <f t="shared" ref="G115" si="22">F115*E115</f>
        <v>1650</v>
      </c>
      <c r="H115" s="147"/>
      <c r="I115" s="148"/>
      <c r="J115" s="147"/>
      <c r="K115" s="147"/>
      <c r="L115" s="149"/>
      <c r="M115" s="147"/>
      <c r="N115" s="59"/>
      <c r="O115" s="150"/>
      <c r="P115" s="150"/>
    </row>
    <row r="116" spans="3:16" x14ac:dyDescent="0.45">
      <c r="C116" s="142" t="s">
        <v>133</v>
      </c>
      <c r="D116" s="142"/>
      <c r="E116" s="142"/>
      <c r="F116" s="142"/>
      <c r="G116" s="142"/>
      <c r="H116" s="67">
        <f>SUM(H93:H115)</f>
        <v>6270.77</v>
      </c>
      <c r="I116" s="68">
        <f t="shared" ref="I116:P116" si="23">SUM(I93:I115)</f>
        <v>54.030303030303031</v>
      </c>
      <c r="J116" s="67">
        <f t="shared" si="23"/>
        <v>3135.030303030303</v>
      </c>
      <c r="K116" s="67">
        <f t="shared" si="23"/>
        <v>5137</v>
      </c>
      <c r="L116" s="68">
        <f t="shared" si="23"/>
        <v>11.913636363636364</v>
      </c>
      <c r="M116" s="67">
        <f t="shared" si="23"/>
        <v>636.030303030303</v>
      </c>
      <c r="N116" s="67">
        <f t="shared" si="23"/>
        <v>0</v>
      </c>
      <c r="O116" s="67">
        <f t="shared" si="23"/>
        <v>9405.8003030303025</v>
      </c>
      <c r="P116" s="67">
        <f t="shared" si="23"/>
        <v>5773.030303030303</v>
      </c>
    </row>
    <row r="117" spans="3:16" ht="14.65" thickBot="1" x14ac:dyDescent="0.5"/>
    <row r="118" spans="3:16" x14ac:dyDescent="0.45">
      <c r="C118" s="136" t="s">
        <v>241</v>
      </c>
      <c r="D118" s="136"/>
      <c r="E118" s="136"/>
      <c r="F118" s="136"/>
      <c r="G118" s="137"/>
      <c r="H118" s="60" t="s">
        <v>121</v>
      </c>
      <c r="I118" s="60" t="s">
        <v>122</v>
      </c>
      <c r="J118" s="60" t="s">
        <v>123</v>
      </c>
      <c r="K118" s="48" t="s">
        <v>124</v>
      </c>
      <c r="L118" s="48" t="s">
        <v>125</v>
      </c>
      <c r="M118" s="48" t="s">
        <v>126</v>
      </c>
      <c r="N118" s="48"/>
      <c r="O118" s="60" t="s">
        <v>127</v>
      </c>
      <c r="P118" s="49" t="s">
        <v>128</v>
      </c>
    </row>
    <row r="119" spans="3:16" x14ac:dyDescent="0.45">
      <c r="C119" s="23" t="s">
        <v>170</v>
      </c>
      <c r="D119" s="21" t="s">
        <v>232</v>
      </c>
      <c r="E119" s="51"/>
      <c r="F119" s="51"/>
      <c r="G119" s="21"/>
      <c r="H119" s="140">
        <f>SUM(G120:G121)</f>
        <v>7000</v>
      </c>
      <c r="I119" s="143">
        <f>(E120/$H$9)</f>
        <v>9.3333333333333339</v>
      </c>
      <c r="J119" s="140">
        <f>I119*$D$10</f>
        <v>858.66666666666674</v>
      </c>
      <c r="K119" s="140">
        <f>H119</f>
        <v>7000</v>
      </c>
      <c r="L119" s="130">
        <v>9.33</v>
      </c>
      <c r="M119" s="140">
        <f>J119</f>
        <v>858.66666666666674</v>
      </c>
      <c r="N119" s="55"/>
      <c r="O119" s="138">
        <f>SUM(H119+J119)</f>
        <v>7858.666666666667</v>
      </c>
      <c r="P119" s="138">
        <f>SUM(K119+M119)</f>
        <v>7858.666666666667</v>
      </c>
    </row>
    <row r="120" spans="3:16" x14ac:dyDescent="0.45">
      <c r="C120" s="52" t="s">
        <v>233</v>
      </c>
      <c r="D120" s="52" t="s">
        <v>234</v>
      </c>
      <c r="E120" s="52">
        <v>2800</v>
      </c>
      <c r="F120" s="53">
        <v>0.4</v>
      </c>
      <c r="G120" s="54">
        <f>F120*E120</f>
        <v>1120</v>
      </c>
      <c r="H120" s="141"/>
      <c r="I120" s="144"/>
      <c r="J120" s="141"/>
      <c r="K120" s="141"/>
      <c r="L120" s="131"/>
      <c r="M120" s="141"/>
      <c r="N120" s="56"/>
      <c r="O120" s="139"/>
      <c r="P120" s="139"/>
    </row>
    <row r="121" spans="3:16" x14ac:dyDescent="0.45">
      <c r="C121" s="52" t="s">
        <v>235</v>
      </c>
      <c r="D121" s="52" t="s">
        <v>149</v>
      </c>
      <c r="E121" s="52">
        <v>2800</v>
      </c>
      <c r="F121" s="53">
        <v>2.1</v>
      </c>
      <c r="G121" s="54">
        <f>F121*E121</f>
        <v>5880</v>
      </c>
      <c r="H121" s="155"/>
      <c r="I121" s="144"/>
      <c r="J121" s="155"/>
      <c r="K121" s="155"/>
      <c r="L121" s="148"/>
      <c r="M121" s="155"/>
      <c r="N121" s="56"/>
      <c r="O121" s="154"/>
      <c r="P121" s="154"/>
    </row>
    <row r="122" spans="3:16" x14ac:dyDescent="0.45">
      <c r="C122" s="22" t="s">
        <v>106</v>
      </c>
      <c r="D122" s="21" t="s">
        <v>145</v>
      </c>
      <c r="E122" s="51"/>
      <c r="F122" s="51"/>
      <c r="G122" s="21"/>
      <c r="H122" s="128">
        <f>SUM(G123:G125)</f>
        <v>5221</v>
      </c>
      <c r="I122" s="152">
        <f>E123/$H$8</f>
        <v>56</v>
      </c>
      <c r="J122" s="151">
        <f>I122*$D$6</f>
        <v>4032</v>
      </c>
      <c r="K122" s="128">
        <v>0</v>
      </c>
      <c r="L122" s="132">
        <v>0</v>
      </c>
      <c r="M122" s="128">
        <f>L122*$D$7</f>
        <v>0</v>
      </c>
      <c r="N122" s="57"/>
      <c r="O122" s="134">
        <f>SUM(H122+J122)</f>
        <v>9253</v>
      </c>
      <c r="P122" s="134">
        <f>SUM(K122+M122)</f>
        <v>0</v>
      </c>
    </row>
    <row r="123" spans="3:16" x14ac:dyDescent="0.45">
      <c r="C123" s="61" t="s">
        <v>173</v>
      </c>
      <c r="D123" s="61" t="s">
        <v>237</v>
      </c>
      <c r="E123" s="61">
        <v>2800</v>
      </c>
      <c r="F123" s="62">
        <v>1.77</v>
      </c>
      <c r="G123" s="63">
        <f t="shared" ref="G123:G125" si="24">F123*E123</f>
        <v>4956</v>
      </c>
      <c r="H123" s="129"/>
      <c r="I123" s="153"/>
      <c r="J123" s="129"/>
      <c r="K123" s="129"/>
      <c r="L123" s="133"/>
      <c r="M123" s="129"/>
      <c r="N123" s="58"/>
      <c r="O123" s="135"/>
      <c r="P123" s="135"/>
    </row>
    <row r="124" spans="3:16" x14ac:dyDescent="0.45">
      <c r="C124" s="61" t="s">
        <v>150</v>
      </c>
      <c r="D124" s="61" t="s">
        <v>175</v>
      </c>
      <c r="E124" s="61">
        <v>5</v>
      </c>
      <c r="F124" s="62">
        <v>18</v>
      </c>
      <c r="G124" s="63">
        <f t="shared" si="24"/>
        <v>90</v>
      </c>
      <c r="H124" s="129"/>
      <c r="I124" s="153"/>
      <c r="J124" s="129"/>
      <c r="K124" s="129"/>
      <c r="L124" s="133"/>
      <c r="M124" s="129"/>
      <c r="N124" s="58"/>
      <c r="O124" s="135"/>
      <c r="P124" s="135"/>
    </row>
    <row r="125" spans="3:16" x14ac:dyDescent="0.45">
      <c r="C125" s="61" t="s">
        <v>151</v>
      </c>
      <c r="D125" s="61" t="s">
        <v>176</v>
      </c>
      <c r="E125" s="61">
        <v>1</v>
      </c>
      <c r="F125" s="62">
        <v>175</v>
      </c>
      <c r="G125" s="63">
        <f t="shared" si="24"/>
        <v>175</v>
      </c>
      <c r="H125" s="129"/>
      <c r="I125" s="153"/>
      <c r="J125" s="129"/>
      <c r="K125" s="129"/>
      <c r="L125" s="133"/>
      <c r="M125" s="129"/>
      <c r="N125" s="58"/>
      <c r="O125" s="135"/>
      <c r="P125" s="135"/>
    </row>
    <row r="126" spans="3:16" x14ac:dyDescent="0.45">
      <c r="C126" s="50" t="s">
        <v>177</v>
      </c>
      <c r="D126" s="51" t="s">
        <v>178</v>
      </c>
      <c r="E126" s="51"/>
      <c r="F126" s="51"/>
      <c r="G126" s="21"/>
      <c r="H126" s="128">
        <f>SUM(G127:G130)</f>
        <v>481.77</v>
      </c>
      <c r="I126" s="130">
        <v>8</v>
      </c>
      <c r="J126" s="128">
        <f>I126*$D$6</f>
        <v>576</v>
      </c>
      <c r="K126" s="128">
        <v>0</v>
      </c>
      <c r="L126" s="132">
        <v>0</v>
      </c>
      <c r="M126" s="128">
        <v>0</v>
      </c>
      <c r="N126" s="57"/>
      <c r="O126" s="134">
        <f>SUM(H126+J126)</f>
        <v>1057.77</v>
      </c>
      <c r="P126" s="134">
        <f>SUM(K126+M126)</f>
        <v>0</v>
      </c>
    </row>
    <row r="127" spans="3:16" x14ac:dyDescent="0.45">
      <c r="C127" s="61" t="s">
        <v>179</v>
      </c>
      <c r="D127" s="61" t="s">
        <v>149</v>
      </c>
      <c r="E127" s="61">
        <v>1</v>
      </c>
      <c r="F127" s="62">
        <v>355</v>
      </c>
      <c r="G127" s="63">
        <f t="shared" ref="G127:G130" si="25">F127*E127</f>
        <v>355</v>
      </c>
      <c r="H127" s="129"/>
      <c r="I127" s="131"/>
      <c r="J127" s="129"/>
      <c r="K127" s="129"/>
      <c r="L127" s="133"/>
      <c r="M127" s="129"/>
      <c r="N127" s="58"/>
      <c r="O127" s="135"/>
      <c r="P127" s="135"/>
    </row>
    <row r="128" spans="3:16" x14ac:dyDescent="0.45">
      <c r="C128" s="61" t="s">
        <v>180</v>
      </c>
      <c r="D128" s="61" t="s">
        <v>149</v>
      </c>
      <c r="E128" s="61">
        <v>2</v>
      </c>
      <c r="F128" s="62">
        <v>45</v>
      </c>
      <c r="G128" s="63">
        <f t="shared" si="25"/>
        <v>90</v>
      </c>
      <c r="H128" s="129"/>
      <c r="I128" s="131"/>
      <c r="J128" s="129"/>
      <c r="K128" s="129"/>
      <c r="L128" s="133"/>
      <c r="M128" s="129"/>
      <c r="N128" s="58"/>
      <c r="O128" s="135"/>
      <c r="P128" s="135"/>
    </row>
    <row r="129" spans="3:16" x14ac:dyDescent="0.45">
      <c r="C129" s="61" t="s">
        <v>146</v>
      </c>
      <c r="D129" s="61" t="s">
        <v>149</v>
      </c>
      <c r="E129" s="61">
        <v>1</v>
      </c>
      <c r="F129" s="62">
        <v>1.77</v>
      </c>
      <c r="G129" s="63">
        <f t="shared" si="25"/>
        <v>1.77</v>
      </c>
      <c r="H129" s="129"/>
      <c r="I129" s="131"/>
      <c r="J129" s="129"/>
      <c r="K129" s="129"/>
      <c r="L129" s="133"/>
      <c r="M129" s="129"/>
      <c r="N129" s="58"/>
      <c r="O129" s="135"/>
      <c r="P129" s="135"/>
    </row>
    <row r="130" spans="3:16" x14ac:dyDescent="0.45">
      <c r="C130" s="61" t="s">
        <v>148</v>
      </c>
      <c r="D130" s="61" t="s">
        <v>149</v>
      </c>
      <c r="E130" s="61">
        <v>1</v>
      </c>
      <c r="F130" s="62">
        <v>35</v>
      </c>
      <c r="G130" s="63">
        <f t="shared" si="25"/>
        <v>35</v>
      </c>
      <c r="H130" s="129"/>
      <c r="I130" s="131"/>
      <c r="J130" s="129"/>
      <c r="K130" s="129"/>
      <c r="L130" s="133"/>
      <c r="M130" s="129"/>
      <c r="N130" s="58"/>
      <c r="O130" s="135"/>
      <c r="P130" s="135"/>
    </row>
    <row r="131" spans="3:16" x14ac:dyDescent="0.45">
      <c r="C131" s="50" t="s">
        <v>181</v>
      </c>
      <c r="D131" s="51" t="s">
        <v>178</v>
      </c>
      <c r="E131" s="51"/>
      <c r="F131" s="51"/>
      <c r="G131" s="21"/>
      <c r="H131" s="128">
        <v>0</v>
      </c>
      <c r="I131" s="130">
        <v>0</v>
      </c>
      <c r="J131" s="128">
        <v>0</v>
      </c>
      <c r="K131" s="128">
        <f>SUM(G132:G132)</f>
        <v>5488</v>
      </c>
      <c r="L131" s="145">
        <v>10</v>
      </c>
      <c r="M131" s="128">
        <f>L131*$D$7</f>
        <v>450</v>
      </c>
      <c r="N131" s="57"/>
      <c r="O131" s="134">
        <f>SUM(H131+J131)</f>
        <v>0</v>
      </c>
      <c r="P131" s="134">
        <f>SUM(K131+M131)</f>
        <v>5938</v>
      </c>
    </row>
    <row r="132" spans="3:16" x14ac:dyDescent="0.45">
      <c r="C132" s="64" t="s">
        <v>182</v>
      </c>
      <c r="D132" s="64" t="s">
        <v>159</v>
      </c>
      <c r="E132" s="64">
        <v>2800</v>
      </c>
      <c r="F132" s="65">
        <v>1.96</v>
      </c>
      <c r="G132" s="66">
        <f t="shared" ref="G132" si="26">F132*E132</f>
        <v>5488</v>
      </c>
      <c r="H132" s="129"/>
      <c r="I132" s="131"/>
      <c r="J132" s="129"/>
      <c r="K132" s="129"/>
      <c r="L132" s="146"/>
      <c r="M132" s="129"/>
      <c r="N132" s="58"/>
      <c r="O132" s="135"/>
      <c r="P132" s="135"/>
    </row>
    <row r="133" spans="3:16" x14ac:dyDescent="0.45">
      <c r="C133" s="50" t="s">
        <v>183</v>
      </c>
      <c r="D133" s="51" t="s">
        <v>178</v>
      </c>
      <c r="E133" s="51"/>
      <c r="F133" s="51"/>
      <c r="G133" s="21"/>
      <c r="H133" s="128">
        <f>SUM(G134:G135)</f>
        <v>1100</v>
      </c>
      <c r="I133" s="143">
        <f>E134/$H$7</f>
        <v>25.454545454545453</v>
      </c>
      <c r="J133" s="128">
        <f>$D$7*I133</f>
        <v>1145.4545454545455</v>
      </c>
      <c r="K133" s="128">
        <f>SUM(G136:G137)</f>
        <v>1100</v>
      </c>
      <c r="L133" s="145">
        <f>E136/$H$7</f>
        <v>25.454545454545453</v>
      </c>
      <c r="M133" s="128">
        <f>L133*$D$7</f>
        <v>1145.4545454545455</v>
      </c>
      <c r="N133" s="57"/>
      <c r="O133" s="134">
        <f>SUM(H133+J133)</f>
        <v>2245.4545454545455</v>
      </c>
      <c r="P133" s="134">
        <f>SUM(K133+M133)</f>
        <v>2245.4545454545455</v>
      </c>
    </row>
    <row r="134" spans="3:16" x14ac:dyDescent="0.45">
      <c r="C134" s="61" t="s">
        <v>184</v>
      </c>
      <c r="D134" s="61" t="s">
        <v>185</v>
      </c>
      <c r="E134" s="61">
        <v>2800</v>
      </c>
      <c r="F134" s="62">
        <v>0.35</v>
      </c>
      <c r="G134" s="63">
        <f t="shared" ref="G134:G137" si="27">F134*E134</f>
        <v>979.99999999999989</v>
      </c>
      <c r="H134" s="129"/>
      <c r="I134" s="144"/>
      <c r="J134" s="129"/>
      <c r="K134" s="129"/>
      <c r="L134" s="146"/>
      <c r="M134" s="129"/>
      <c r="N134" s="58"/>
      <c r="O134" s="135"/>
      <c r="P134" s="135"/>
    </row>
    <row r="135" spans="3:16" x14ac:dyDescent="0.45">
      <c r="C135" s="61" t="s">
        <v>186</v>
      </c>
      <c r="D135" s="61" t="s">
        <v>187</v>
      </c>
      <c r="E135" s="61">
        <v>24</v>
      </c>
      <c r="F135" s="62">
        <v>5</v>
      </c>
      <c r="G135" s="63">
        <f t="shared" si="27"/>
        <v>120</v>
      </c>
      <c r="H135" s="129"/>
      <c r="I135" s="144"/>
      <c r="J135" s="129"/>
      <c r="K135" s="129"/>
      <c r="L135" s="146"/>
      <c r="M135" s="129"/>
      <c r="N135" s="58"/>
      <c r="O135" s="135"/>
      <c r="P135" s="135"/>
    </row>
    <row r="136" spans="3:16" x14ac:dyDescent="0.45">
      <c r="C136" s="64" t="s">
        <v>188</v>
      </c>
      <c r="D136" s="64" t="s">
        <v>185</v>
      </c>
      <c r="E136" s="64">
        <v>2800</v>
      </c>
      <c r="F136" s="65">
        <v>0.35</v>
      </c>
      <c r="G136" s="66">
        <f t="shared" si="27"/>
        <v>979.99999999999989</v>
      </c>
      <c r="H136" s="129"/>
      <c r="I136" s="144"/>
      <c r="J136" s="129"/>
      <c r="K136" s="129"/>
      <c r="L136" s="146"/>
      <c r="M136" s="129"/>
      <c r="N136" s="58"/>
      <c r="O136" s="135"/>
      <c r="P136" s="135"/>
    </row>
    <row r="137" spans="3:16" x14ac:dyDescent="0.45">
      <c r="C137" s="64" t="s">
        <v>186</v>
      </c>
      <c r="D137" s="64" t="s">
        <v>187</v>
      </c>
      <c r="E137" s="64">
        <v>24</v>
      </c>
      <c r="F137" s="65">
        <v>5</v>
      </c>
      <c r="G137" s="66">
        <f t="shared" si="27"/>
        <v>120</v>
      </c>
      <c r="H137" s="129"/>
      <c r="I137" s="144"/>
      <c r="J137" s="129"/>
      <c r="K137" s="129"/>
      <c r="L137" s="146"/>
      <c r="M137" s="129"/>
      <c r="N137" s="58"/>
      <c r="O137" s="135"/>
      <c r="P137" s="135"/>
    </row>
    <row r="138" spans="3:16" x14ac:dyDescent="0.45">
      <c r="C138" s="50" t="s">
        <v>109</v>
      </c>
      <c r="D138" s="51" t="s">
        <v>178</v>
      </c>
      <c r="E138" s="51"/>
      <c r="F138" s="51"/>
      <c r="G138" s="21"/>
      <c r="H138" s="128">
        <f>SUM(G139:G139)</f>
        <v>8680</v>
      </c>
      <c r="I138" s="152">
        <f>E139/$H$6</f>
        <v>93.333333333333329</v>
      </c>
      <c r="J138" s="151">
        <f>$D$7*I138</f>
        <v>4200</v>
      </c>
      <c r="K138" s="128">
        <v>0</v>
      </c>
      <c r="L138" s="132">
        <v>0</v>
      </c>
      <c r="M138" s="128">
        <v>0</v>
      </c>
      <c r="N138" s="57"/>
      <c r="O138" s="134">
        <f>SUM(H138+J138)</f>
        <v>12880</v>
      </c>
      <c r="P138" s="134">
        <f>SUM(K138+M138)</f>
        <v>0</v>
      </c>
    </row>
    <row r="139" spans="3:16" x14ac:dyDescent="0.45">
      <c r="C139" s="61" t="s">
        <v>195</v>
      </c>
      <c r="D139" s="61" t="s">
        <v>196</v>
      </c>
      <c r="E139" s="61">
        <v>2800</v>
      </c>
      <c r="F139" s="62">
        <v>3.1</v>
      </c>
      <c r="G139" s="63">
        <f t="shared" ref="G139" si="28">F139*E139</f>
        <v>8680</v>
      </c>
      <c r="H139" s="129"/>
      <c r="I139" s="153"/>
      <c r="J139" s="129"/>
      <c r="K139" s="129"/>
      <c r="L139" s="133"/>
      <c r="M139" s="129"/>
      <c r="N139" s="58"/>
      <c r="O139" s="135"/>
      <c r="P139" s="135"/>
    </row>
    <row r="140" spans="3:16" x14ac:dyDescent="0.45">
      <c r="C140" s="50" t="s">
        <v>191</v>
      </c>
      <c r="D140" s="51" t="s">
        <v>178</v>
      </c>
      <c r="E140" s="51"/>
      <c r="F140" s="51"/>
      <c r="G140" s="21"/>
      <c r="H140" s="128">
        <v>0</v>
      </c>
      <c r="I140" s="130">
        <v>0</v>
      </c>
      <c r="J140" s="128">
        <v>0</v>
      </c>
      <c r="K140" s="128">
        <f>SUM(G141:G141)</f>
        <v>1650</v>
      </c>
      <c r="L140" s="132">
        <v>0.25</v>
      </c>
      <c r="M140" s="128">
        <f>$D$7*L140</f>
        <v>11.25</v>
      </c>
      <c r="N140" s="57"/>
      <c r="O140" s="134">
        <f>SUM(H140+J140)</f>
        <v>0</v>
      </c>
      <c r="P140" s="134">
        <f>SUM(K140+M140)</f>
        <v>1661.25</v>
      </c>
    </row>
    <row r="141" spans="3:16" x14ac:dyDescent="0.45">
      <c r="C141" s="64" t="s">
        <v>192</v>
      </c>
      <c r="D141" s="64" t="s">
        <v>193</v>
      </c>
      <c r="E141" s="64">
        <v>1</v>
      </c>
      <c r="F141" s="65">
        <v>1650</v>
      </c>
      <c r="G141" s="66">
        <f t="shared" ref="G141" si="29">F141*E141</f>
        <v>1650</v>
      </c>
      <c r="H141" s="147"/>
      <c r="I141" s="148"/>
      <c r="J141" s="147"/>
      <c r="K141" s="147"/>
      <c r="L141" s="149"/>
      <c r="M141" s="147"/>
      <c r="N141" s="59"/>
      <c r="O141" s="150"/>
      <c r="P141" s="150"/>
    </row>
    <row r="142" spans="3:16" x14ac:dyDescent="0.45">
      <c r="C142" s="142" t="s">
        <v>133</v>
      </c>
      <c r="D142" s="142"/>
      <c r="E142" s="142"/>
      <c r="F142" s="142"/>
      <c r="G142" s="142"/>
      <c r="H142" s="67">
        <f>SUM(H119:H141)</f>
        <v>22482.77</v>
      </c>
      <c r="I142" s="68">
        <f t="shared" ref="I142" si="30">SUM(I119:I141)</f>
        <v>192.12121212121212</v>
      </c>
      <c r="J142" s="67">
        <f t="shared" ref="J142" si="31">SUM(J119:J141)</f>
        <v>10812.121212121212</v>
      </c>
      <c r="K142" s="67">
        <f t="shared" ref="K142" si="32">SUM(K119:K141)</f>
        <v>15238</v>
      </c>
      <c r="L142" s="68">
        <f t="shared" ref="L142" si="33">SUM(L119:L141)</f>
        <v>45.034545454545452</v>
      </c>
      <c r="M142" s="67">
        <f t="shared" ref="M142" si="34">SUM(M119:M141)</f>
        <v>2465.371212121212</v>
      </c>
      <c r="N142" s="67">
        <f t="shared" ref="N142" si="35">SUM(N119:N141)</f>
        <v>0</v>
      </c>
      <c r="O142" s="67">
        <f t="shared" ref="O142" si="36">SUM(O119:O141)</f>
        <v>33294.891212121212</v>
      </c>
      <c r="P142" s="67">
        <f t="shared" ref="P142" si="37">SUM(P119:P141)</f>
        <v>17703.371212121216</v>
      </c>
    </row>
    <row r="143" spans="3:16" ht="14.65" thickBot="1" x14ac:dyDescent="0.5">
      <c r="C143" s="70"/>
      <c r="D143" s="70"/>
      <c r="E143" s="70"/>
      <c r="F143" s="70"/>
      <c r="G143" s="70"/>
      <c r="H143" s="71"/>
      <c r="I143" s="72"/>
      <c r="J143" s="71"/>
      <c r="K143" s="71"/>
      <c r="L143" s="72"/>
      <c r="M143" s="71"/>
      <c r="N143" s="71"/>
      <c r="O143" s="71"/>
      <c r="P143" s="71"/>
    </row>
    <row r="144" spans="3:16" x14ac:dyDescent="0.45">
      <c r="C144" s="136" t="s">
        <v>242</v>
      </c>
      <c r="D144" s="136"/>
      <c r="E144" s="136"/>
      <c r="F144" s="136"/>
      <c r="G144" s="137"/>
      <c r="H144" s="60" t="s">
        <v>121</v>
      </c>
      <c r="I144" s="60" t="s">
        <v>122</v>
      </c>
      <c r="J144" s="60" t="s">
        <v>123</v>
      </c>
      <c r="K144" s="48" t="s">
        <v>124</v>
      </c>
      <c r="L144" s="48" t="s">
        <v>125</v>
      </c>
      <c r="M144" s="48" t="s">
        <v>126</v>
      </c>
      <c r="N144" s="48"/>
      <c r="O144" s="60" t="s">
        <v>127</v>
      </c>
      <c r="P144" s="49" t="s">
        <v>128</v>
      </c>
    </row>
    <row r="145" spans="3:16" x14ac:dyDescent="0.45">
      <c r="C145" s="23" t="s">
        <v>170</v>
      </c>
      <c r="D145" s="21" t="s">
        <v>232</v>
      </c>
      <c r="E145" s="51"/>
      <c r="F145" s="51"/>
      <c r="G145" s="21"/>
      <c r="H145" s="140">
        <f>SUM(G146:G147)</f>
        <v>11250</v>
      </c>
      <c r="I145" s="143">
        <f>(E146/$H$9)</f>
        <v>15</v>
      </c>
      <c r="J145" s="140">
        <f>I145*$D$10</f>
        <v>1380</v>
      </c>
      <c r="K145" s="140">
        <f>H145</f>
        <v>11250</v>
      </c>
      <c r="L145" s="130">
        <v>15</v>
      </c>
      <c r="M145" s="140">
        <f>J145</f>
        <v>1380</v>
      </c>
      <c r="N145" s="55"/>
      <c r="O145" s="138">
        <f>SUM(H145+J145)</f>
        <v>12630</v>
      </c>
      <c r="P145" s="138">
        <f>SUM(K145+M145)</f>
        <v>12630</v>
      </c>
    </row>
    <row r="146" spans="3:16" x14ac:dyDescent="0.45">
      <c r="C146" s="52" t="s">
        <v>233</v>
      </c>
      <c r="D146" s="52" t="s">
        <v>234</v>
      </c>
      <c r="E146" s="52">
        <v>4500</v>
      </c>
      <c r="F146" s="53">
        <v>0.4</v>
      </c>
      <c r="G146" s="54">
        <f>F146*E146</f>
        <v>1800</v>
      </c>
      <c r="H146" s="141"/>
      <c r="I146" s="144"/>
      <c r="J146" s="141"/>
      <c r="K146" s="141"/>
      <c r="L146" s="131"/>
      <c r="M146" s="141"/>
      <c r="N146" s="56"/>
      <c r="O146" s="139"/>
      <c r="P146" s="139"/>
    </row>
    <row r="147" spans="3:16" x14ac:dyDescent="0.45">
      <c r="C147" s="52" t="s">
        <v>235</v>
      </c>
      <c r="D147" s="52" t="s">
        <v>149</v>
      </c>
      <c r="E147" s="52">
        <v>4500</v>
      </c>
      <c r="F147" s="53">
        <v>2.1</v>
      </c>
      <c r="G147" s="54">
        <f>F147*E147</f>
        <v>9450</v>
      </c>
      <c r="H147" s="155"/>
      <c r="I147" s="144"/>
      <c r="J147" s="155"/>
      <c r="K147" s="155"/>
      <c r="L147" s="148"/>
      <c r="M147" s="155"/>
      <c r="N147" s="56"/>
      <c r="O147" s="154"/>
      <c r="P147" s="154"/>
    </row>
    <row r="148" spans="3:16" x14ac:dyDescent="0.45">
      <c r="C148" s="22" t="s">
        <v>106</v>
      </c>
      <c r="D148" s="21" t="s">
        <v>145</v>
      </c>
      <c r="E148" s="51"/>
      <c r="F148" s="51"/>
      <c r="G148" s="21"/>
      <c r="H148" s="128">
        <f>SUM(G149:G151)</f>
        <v>8230</v>
      </c>
      <c r="I148" s="152">
        <f>E149/$H$8</f>
        <v>90</v>
      </c>
      <c r="J148" s="151">
        <f>I148*$D$6</f>
        <v>6480</v>
      </c>
      <c r="K148" s="128">
        <v>0</v>
      </c>
      <c r="L148" s="132">
        <v>0</v>
      </c>
      <c r="M148" s="128">
        <f>L148*$D$7</f>
        <v>0</v>
      </c>
      <c r="N148" s="57"/>
      <c r="O148" s="134">
        <f>SUM(H148+J148)</f>
        <v>14710</v>
      </c>
      <c r="P148" s="134">
        <f>SUM(K148+M148)</f>
        <v>0</v>
      </c>
    </row>
    <row r="149" spans="3:16" x14ac:dyDescent="0.45">
      <c r="C149" s="61" t="s">
        <v>173</v>
      </c>
      <c r="D149" s="61" t="s">
        <v>237</v>
      </c>
      <c r="E149" s="61">
        <v>4500</v>
      </c>
      <c r="F149" s="62">
        <v>1.77</v>
      </c>
      <c r="G149" s="63">
        <f t="shared" ref="G149:G151" si="38">F149*E149</f>
        <v>7965</v>
      </c>
      <c r="H149" s="129"/>
      <c r="I149" s="153"/>
      <c r="J149" s="129"/>
      <c r="K149" s="129"/>
      <c r="L149" s="133"/>
      <c r="M149" s="129"/>
      <c r="N149" s="58"/>
      <c r="O149" s="135"/>
      <c r="P149" s="135"/>
    </row>
    <row r="150" spans="3:16" x14ac:dyDescent="0.45">
      <c r="C150" s="61" t="s">
        <v>150</v>
      </c>
      <c r="D150" s="61" t="s">
        <v>175</v>
      </c>
      <c r="E150" s="61">
        <v>5</v>
      </c>
      <c r="F150" s="62">
        <v>18</v>
      </c>
      <c r="G150" s="63">
        <f t="shared" si="38"/>
        <v>90</v>
      </c>
      <c r="H150" s="129"/>
      <c r="I150" s="153"/>
      <c r="J150" s="129"/>
      <c r="K150" s="129"/>
      <c r="L150" s="133"/>
      <c r="M150" s="129"/>
      <c r="N150" s="58"/>
      <c r="O150" s="135"/>
      <c r="P150" s="135"/>
    </row>
    <row r="151" spans="3:16" x14ac:dyDescent="0.45">
      <c r="C151" s="61" t="s">
        <v>151</v>
      </c>
      <c r="D151" s="61" t="s">
        <v>176</v>
      </c>
      <c r="E151" s="61">
        <v>1</v>
      </c>
      <c r="F151" s="62">
        <v>175</v>
      </c>
      <c r="G151" s="63">
        <f t="shared" si="38"/>
        <v>175</v>
      </c>
      <c r="H151" s="129"/>
      <c r="I151" s="153"/>
      <c r="J151" s="129"/>
      <c r="K151" s="129"/>
      <c r="L151" s="133"/>
      <c r="M151" s="129"/>
      <c r="N151" s="58"/>
      <c r="O151" s="135"/>
      <c r="P151" s="135"/>
    </row>
    <row r="152" spans="3:16" x14ac:dyDescent="0.45">
      <c r="C152" s="50" t="s">
        <v>177</v>
      </c>
      <c r="D152" s="51" t="s">
        <v>178</v>
      </c>
      <c r="E152" s="51"/>
      <c r="F152" s="51"/>
      <c r="G152" s="21"/>
      <c r="H152" s="128">
        <f>SUM(G153:G156)</f>
        <v>481.77</v>
      </c>
      <c r="I152" s="130">
        <v>8</v>
      </c>
      <c r="J152" s="128">
        <f>I152*$D$6</f>
        <v>576</v>
      </c>
      <c r="K152" s="128">
        <v>0</v>
      </c>
      <c r="L152" s="132">
        <v>0</v>
      </c>
      <c r="M152" s="128">
        <v>0</v>
      </c>
      <c r="N152" s="57"/>
      <c r="O152" s="134">
        <f>SUM(H152+J152)</f>
        <v>1057.77</v>
      </c>
      <c r="P152" s="134">
        <f>SUM(K152+M152)</f>
        <v>0</v>
      </c>
    </row>
    <row r="153" spans="3:16" x14ac:dyDescent="0.45">
      <c r="C153" s="61" t="s">
        <v>179</v>
      </c>
      <c r="D153" s="61" t="s">
        <v>149</v>
      </c>
      <c r="E153" s="61">
        <v>1</v>
      </c>
      <c r="F153" s="62">
        <v>355</v>
      </c>
      <c r="G153" s="63">
        <f t="shared" ref="G153:G156" si="39">F153*E153</f>
        <v>355</v>
      </c>
      <c r="H153" s="129"/>
      <c r="I153" s="131"/>
      <c r="J153" s="129"/>
      <c r="K153" s="129"/>
      <c r="L153" s="133"/>
      <c r="M153" s="129"/>
      <c r="N153" s="58"/>
      <c r="O153" s="135"/>
      <c r="P153" s="135"/>
    </row>
    <row r="154" spans="3:16" x14ac:dyDescent="0.45">
      <c r="C154" s="61" t="s">
        <v>180</v>
      </c>
      <c r="D154" s="61" t="s">
        <v>149</v>
      </c>
      <c r="E154" s="61">
        <v>2</v>
      </c>
      <c r="F154" s="62">
        <v>45</v>
      </c>
      <c r="G154" s="63">
        <f t="shared" si="39"/>
        <v>90</v>
      </c>
      <c r="H154" s="129"/>
      <c r="I154" s="131"/>
      <c r="J154" s="129"/>
      <c r="K154" s="129"/>
      <c r="L154" s="133"/>
      <c r="M154" s="129"/>
      <c r="N154" s="58"/>
      <c r="O154" s="135"/>
      <c r="P154" s="135"/>
    </row>
    <row r="155" spans="3:16" x14ac:dyDescent="0.45">
      <c r="C155" s="61" t="s">
        <v>146</v>
      </c>
      <c r="D155" s="61" t="s">
        <v>149</v>
      </c>
      <c r="E155" s="61">
        <v>1</v>
      </c>
      <c r="F155" s="62">
        <v>1.77</v>
      </c>
      <c r="G155" s="63">
        <f t="shared" si="39"/>
        <v>1.77</v>
      </c>
      <c r="H155" s="129"/>
      <c r="I155" s="131"/>
      <c r="J155" s="129"/>
      <c r="K155" s="129"/>
      <c r="L155" s="133"/>
      <c r="M155" s="129"/>
      <c r="N155" s="58"/>
      <c r="O155" s="135"/>
      <c r="P155" s="135"/>
    </row>
    <row r="156" spans="3:16" x14ac:dyDescent="0.45">
      <c r="C156" s="61" t="s">
        <v>148</v>
      </c>
      <c r="D156" s="61" t="s">
        <v>149</v>
      </c>
      <c r="E156" s="61">
        <v>1</v>
      </c>
      <c r="F156" s="62">
        <v>35</v>
      </c>
      <c r="G156" s="63">
        <f t="shared" si="39"/>
        <v>35</v>
      </c>
      <c r="H156" s="129"/>
      <c r="I156" s="131"/>
      <c r="J156" s="129"/>
      <c r="K156" s="129"/>
      <c r="L156" s="133"/>
      <c r="M156" s="129"/>
      <c r="N156" s="58"/>
      <c r="O156" s="135"/>
      <c r="P156" s="135"/>
    </row>
    <row r="157" spans="3:16" x14ac:dyDescent="0.45">
      <c r="C157" s="50" t="s">
        <v>181</v>
      </c>
      <c r="D157" s="51" t="s">
        <v>178</v>
      </c>
      <c r="E157" s="51"/>
      <c r="F157" s="51"/>
      <c r="G157" s="21"/>
      <c r="H157" s="128">
        <v>0</v>
      </c>
      <c r="I157" s="130">
        <v>0</v>
      </c>
      <c r="J157" s="128">
        <v>0</v>
      </c>
      <c r="K157" s="128">
        <f>SUM(G158:G158)</f>
        <v>8820</v>
      </c>
      <c r="L157" s="145">
        <v>25</v>
      </c>
      <c r="M157" s="128">
        <f>L157*$D$7</f>
        <v>1125</v>
      </c>
      <c r="N157" s="57"/>
      <c r="O157" s="134">
        <f>SUM(H157+J157)</f>
        <v>0</v>
      </c>
      <c r="P157" s="134">
        <f>SUM(K157+M157)</f>
        <v>9945</v>
      </c>
    </row>
    <row r="158" spans="3:16" x14ac:dyDescent="0.45">
      <c r="C158" s="64" t="s">
        <v>182</v>
      </c>
      <c r="D158" s="64" t="s">
        <v>159</v>
      </c>
      <c r="E158" s="64">
        <v>4500</v>
      </c>
      <c r="F158" s="65">
        <v>1.96</v>
      </c>
      <c r="G158" s="66">
        <f t="shared" ref="G158" si="40">F158*E158</f>
        <v>8820</v>
      </c>
      <c r="H158" s="129"/>
      <c r="I158" s="131"/>
      <c r="J158" s="129"/>
      <c r="K158" s="129"/>
      <c r="L158" s="146"/>
      <c r="M158" s="129"/>
      <c r="N158" s="58"/>
      <c r="O158" s="135"/>
      <c r="P158" s="135"/>
    </row>
    <row r="159" spans="3:16" x14ac:dyDescent="0.45">
      <c r="C159" s="50" t="s">
        <v>183</v>
      </c>
      <c r="D159" s="51" t="s">
        <v>178</v>
      </c>
      <c r="E159" s="51"/>
      <c r="F159" s="51"/>
      <c r="G159" s="21"/>
      <c r="H159" s="128">
        <f>SUM(G160:G161)</f>
        <v>1695</v>
      </c>
      <c r="I159" s="143">
        <f>E160/$H$7</f>
        <v>40.909090909090907</v>
      </c>
      <c r="J159" s="128">
        <f>$D$7*I159</f>
        <v>1840.9090909090908</v>
      </c>
      <c r="K159" s="128">
        <f>SUM(G162:G163)</f>
        <v>1695</v>
      </c>
      <c r="L159" s="145">
        <f>E162/$H$7</f>
        <v>40.909090909090907</v>
      </c>
      <c r="M159" s="128">
        <f>L159*$D$7</f>
        <v>1840.9090909090908</v>
      </c>
      <c r="N159" s="57"/>
      <c r="O159" s="134">
        <f>SUM(H159+J159)</f>
        <v>3535.909090909091</v>
      </c>
      <c r="P159" s="134">
        <f>SUM(K159+M159)</f>
        <v>3535.909090909091</v>
      </c>
    </row>
    <row r="160" spans="3:16" x14ac:dyDescent="0.45">
      <c r="C160" s="61" t="s">
        <v>184</v>
      </c>
      <c r="D160" s="61" t="s">
        <v>185</v>
      </c>
      <c r="E160" s="61">
        <v>4500</v>
      </c>
      <c r="F160" s="62">
        <v>0.35</v>
      </c>
      <c r="G160" s="63">
        <f t="shared" ref="G160:G163" si="41">F160*E160</f>
        <v>1575</v>
      </c>
      <c r="H160" s="129"/>
      <c r="I160" s="144"/>
      <c r="J160" s="129"/>
      <c r="K160" s="129"/>
      <c r="L160" s="146"/>
      <c r="M160" s="129"/>
      <c r="N160" s="58"/>
      <c r="O160" s="135"/>
      <c r="P160" s="135"/>
    </row>
    <row r="161" spans="3:16" x14ac:dyDescent="0.45">
      <c r="C161" s="61" t="s">
        <v>186</v>
      </c>
      <c r="D161" s="61" t="s">
        <v>187</v>
      </c>
      <c r="E161" s="61">
        <v>24</v>
      </c>
      <c r="F161" s="62">
        <v>5</v>
      </c>
      <c r="G161" s="63">
        <f t="shared" si="41"/>
        <v>120</v>
      </c>
      <c r="H161" s="129"/>
      <c r="I161" s="144"/>
      <c r="J161" s="129"/>
      <c r="K161" s="129"/>
      <c r="L161" s="146"/>
      <c r="M161" s="129"/>
      <c r="N161" s="58"/>
      <c r="O161" s="135"/>
      <c r="P161" s="135"/>
    </row>
    <row r="162" spans="3:16" x14ac:dyDescent="0.45">
      <c r="C162" s="64" t="s">
        <v>188</v>
      </c>
      <c r="D162" s="64" t="s">
        <v>185</v>
      </c>
      <c r="E162" s="64">
        <v>4500</v>
      </c>
      <c r="F162" s="65">
        <v>0.35</v>
      </c>
      <c r="G162" s="66">
        <f t="shared" si="41"/>
        <v>1575</v>
      </c>
      <c r="H162" s="129"/>
      <c r="I162" s="144"/>
      <c r="J162" s="129"/>
      <c r="K162" s="129"/>
      <c r="L162" s="146"/>
      <c r="M162" s="129"/>
      <c r="N162" s="58"/>
      <c r="O162" s="135"/>
      <c r="P162" s="135"/>
    </row>
    <row r="163" spans="3:16" x14ac:dyDescent="0.45">
      <c r="C163" s="64" t="s">
        <v>186</v>
      </c>
      <c r="D163" s="64" t="s">
        <v>187</v>
      </c>
      <c r="E163" s="64">
        <v>24</v>
      </c>
      <c r="F163" s="65">
        <v>5</v>
      </c>
      <c r="G163" s="66">
        <f t="shared" si="41"/>
        <v>120</v>
      </c>
      <c r="H163" s="129"/>
      <c r="I163" s="144"/>
      <c r="J163" s="129"/>
      <c r="K163" s="129"/>
      <c r="L163" s="146"/>
      <c r="M163" s="129"/>
      <c r="N163" s="58"/>
      <c r="O163" s="135"/>
      <c r="P163" s="135"/>
    </row>
    <row r="164" spans="3:16" x14ac:dyDescent="0.45">
      <c r="C164" s="50" t="s">
        <v>109</v>
      </c>
      <c r="D164" s="51" t="s">
        <v>178</v>
      </c>
      <c r="E164" s="51"/>
      <c r="F164" s="51"/>
      <c r="G164" s="21"/>
      <c r="H164" s="128">
        <f>SUM(G165:G165)</f>
        <v>49500</v>
      </c>
      <c r="I164" s="152">
        <f>E165/$H$6</f>
        <v>150</v>
      </c>
      <c r="J164" s="151">
        <f>$D$7*I164</f>
        <v>6750</v>
      </c>
      <c r="K164" s="128">
        <v>0</v>
      </c>
      <c r="L164" s="132">
        <v>0</v>
      </c>
      <c r="M164" s="128">
        <v>0</v>
      </c>
      <c r="N164" s="57"/>
      <c r="O164" s="134">
        <f>SUM(H164+J164)</f>
        <v>56250</v>
      </c>
      <c r="P164" s="134">
        <f>SUM(K164+M164)</f>
        <v>0</v>
      </c>
    </row>
    <row r="165" spans="3:16" x14ac:dyDescent="0.45">
      <c r="C165" s="61" t="s">
        <v>195</v>
      </c>
      <c r="D165" s="61" t="s">
        <v>243</v>
      </c>
      <c r="E165" s="61">
        <v>4500</v>
      </c>
      <c r="F165" s="62">
        <v>11</v>
      </c>
      <c r="G165" s="63">
        <f t="shared" ref="G165" si="42">F165*E165</f>
        <v>49500</v>
      </c>
      <c r="H165" s="129"/>
      <c r="I165" s="153"/>
      <c r="J165" s="129"/>
      <c r="K165" s="129"/>
      <c r="L165" s="133"/>
      <c r="M165" s="129"/>
      <c r="N165" s="58"/>
      <c r="O165" s="135"/>
      <c r="P165" s="135"/>
    </row>
    <row r="166" spans="3:16" x14ac:dyDescent="0.45">
      <c r="C166" s="50" t="s">
        <v>191</v>
      </c>
      <c r="D166" s="51" t="s">
        <v>178</v>
      </c>
      <c r="E166" s="51"/>
      <c r="F166" s="51"/>
      <c r="G166" s="21"/>
      <c r="H166" s="128">
        <v>0</v>
      </c>
      <c r="I166" s="130">
        <v>0</v>
      </c>
      <c r="J166" s="128">
        <v>0</v>
      </c>
      <c r="K166" s="128">
        <f>SUM(G167:G167)</f>
        <v>1650</v>
      </c>
      <c r="L166" s="132">
        <v>0.25</v>
      </c>
      <c r="M166" s="128">
        <f>$D$7*L166</f>
        <v>11.25</v>
      </c>
      <c r="N166" s="57"/>
      <c r="O166" s="134">
        <f>SUM(H166+J166)</f>
        <v>0</v>
      </c>
      <c r="P166" s="134">
        <f>SUM(K166+M166)</f>
        <v>1661.25</v>
      </c>
    </row>
    <row r="167" spans="3:16" x14ac:dyDescent="0.45">
      <c r="C167" s="64" t="s">
        <v>192</v>
      </c>
      <c r="D167" s="64" t="s">
        <v>193</v>
      </c>
      <c r="E167" s="64">
        <v>1</v>
      </c>
      <c r="F167" s="65">
        <v>1650</v>
      </c>
      <c r="G167" s="66">
        <f t="shared" ref="G167" si="43">F167*E167</f>
        <v>1650</v>
      </c>
      <c r="H167" s="147"/>
      <c r="I167" s="148"/>
      <c r="J167" s="147"/>
      <c r="K167" s="147"/>
      <c r="L167" s="149"/>
      <c r="M167" s="147"/>
      <c r="N167" s="59"/>
      <c r="O167" s="150"/>
      <c r="P167" s="150"/>
    </row>
    <row r="168" spans="3:16" x14ac:dyDescent="0.45">
      <c r="C168" s="142" t="s">
        <v>133</v>
      </c>
      <c r="D168" s="142"/>
      <c r="E168" s="142"/>
      <c r="F168" s="142"/>
      <c r="G168" s="142"/>
      <c r="H168" s="67">
        <f>SUM(H145:H167)</f>
        <v>71156.77</v>
      </c>
      <c r="I168" s="68">
        <f t="shared" ref="I168" si="44">SUM(I145:I167)</f>
        <v>303.90909090909088</v>
      </c>
      <c r="J168" s="67">
        <f t="shared" ref="J168" si="45">SUM(J145:J167)</f>
        <v>17026.909090909088</v>
      </c>
      <c r="K168" s="67">
        <f t="shared" ref="K168" si="46">SUM(K145:K167)</f>
        <v>23415</v>
      </c>
      <c r="L168" s="68">
        <f t="shared" ref="L168" si="47">SUM(L145:L167)</f>
        <v>81.159090909090907</v>
      </c>
      <c r="M168" s="67">
        <f t="shared" ref="M168" si="48">SUM(M145:M167)</f>
        <v>4357.159090909091</v>
      </c>
      <c r="N168" s="67">
        <f t="shared" ref="N168" si="49">SUM(N145:N167)</f>
        <v>0</v>
      </c>
      <c r="O168" s="67">
        <f t="shared" ref="O168" si="50">SUM(O145:O167)</f>
        <v>88183.679090909092</v>
      </c>
      <c r="P168" s="67">
        <f t="shared" ref="P168" si="51">SUM(P145:P167)</f>
        <v>27772.159090909092</v>
      </c>
    </row>
    <row r="169" spans="3:16" ht="14.65" thickBot="1" x14ac:dyDescent="0.5">
      <c r="C169" s="70"/>
      <c r="D169" s="70"/>
      <c r="E169" s="70"/>
      <c r="F169" s="70"/>
      <c r="G169" s="70"/>
      <c r="H169" s="71"/>
      <c r="I169" s="71"/>
      <c r="J169" s="71"/>
      <c r="K169" s="71"/>
      <c r="L169" s="71"/>
      <c r="M169" s="71"/>
      <c r="N169" s="71"/>
      <c r="O169" s="71"/>
      <c r="P169" s="71"/>
    </row>
    <row r="170" spans="3:16" x14ac:dyDescent="0.45">
      <c r="C170" s="136" t="s">
        <v>204</v>
      </c>
      <c r="D170" s="136"/>
      <c r="E170" s="136"/>
      <c r="F170" s="136"/>
      <c r="G170" s="137"/>
      <c r="H170" s="60" t="s">
        <v>121</v>
      </c>
      <c r="I170" s="60" t="s">
        <v>122</v>
      </c>
      <c r="J170" s="60" t="s">
        <v>123</v>
      </c>
      <c r="K170" s="48" t="s">
        <v>124</v>
      </c>
      <c r="L170" s="48" t="s">
        <v>125</v>
      </c>
      <c r="M170" s="48" t="s">
        <v>126</v>
      </c>
      <c r="N170" s="48"/>
      <c r="O170" s="60" t="s">
        <v>127</v>
      </c>
      <c r="P170" s="49" t="s">
        <v>128</v>
      </c>
    </row>
    <row r="171" spans="3:16" x14ac:dyDescent="0.45">
      <c r="C171" s="22" t="s">
        <v>205</v>
      </c>
      <c r="D171" s="21" t="s">
        <v>206</v>
      </c>
      <c r="E171" s="51"/>
      <c r="F171" s="51"/>
      <c r="G171" s="21"/>
      <c r="H171" s="128">
        <f>SUM(G172:G172)</f>
        <v>1000</v>
      </c>
      <c r="I171" s="130">
        <v>6</v>
      </c>
      <c r="J171" s="128">
        <f>$D$7*I171</f>
        <v>270</v>
      </c>
      <c r="K171" s="128">
        <f>SUM(G173:G173)</f>
        <v>250</v>
      </c>
      <c r="L171" s="132">
        <v>6</v>
      </c>
      <c r="M171" s="128">
        <f>L171*$D$7</f>
        <v>270</v>
      </c>
      <c r="N171" s="57"/>
      <c r="O171" s="134">
        <f>SUM(H171+J171)</f>
        <v>1270</v>
      </c>
      <c r="P171" s="134">
        <f>SUM(K171+M171)</f>
        <v>520</v>
      </c>
    </row>
    <row r="172" spans="3:16" x14ac:dyDescent="0.45">
      <c r="C172" s="61" t="s">
        <v>151</v>
      </c>
      <c r="D172" s="61" t="s">
        <v>159</v>
      </c>
      <c r="E172" s="61">
        <v>1</v>
      </c>
      <c r="F172" s="62">
        <v>1000</v>
      </c>
      <c r="G172" s="63">
        <f t="shared" ref="G172:G173" si="52">F172*E172</f>
        <v>1000</v>
      </c>
      <c r="H172" s="129"/>
      <c r="I172" s="131"/>
      <c r="J172" s="129"/>
      <c r="K172" s="129"/>
      <c r="L172" s="133"/>
      <c r="M172" s="129"/>
      <c r="N172" s="58"/>
      <c r="O172" s="135"/>
      <c r="P172" s="135"/>
    </row>
    <row r="173" spans="3:16" x14ac:dyDescent="0.45">
      <c r="C173" s="64" t="s">
        <v>151</v>
      </c>
      <c r="D173" s="64" t="s">
        <v>159</v>
      </c>
      <c r="E173" s="64">
        <v>1</v>
      </c>
      <c r="F173" s="65">
        <v>250</v>
      </c>
      <c r="G173" s="66">
        <f t="shared" si="52"/>
        <v>250</v>
      </c>
      <c r="H173" s="129"/>
      <c r="I173" s="131"/>
      <c r="J173" s="129"/>
      <c r="K173" s="129"/>
      <c r="L173" s="133"/>
      <c r="M173" s="129"/>
      <c r="N173" s="58"/>
      <c r="O173" s="135"/>
      <c r="P173" s="135"/>
    </row>
    <row r="174" spans="3:16" x14ac:dyDescent="0.45">
      <c r="C174" s="22" t="s">
        <v>207</v>
      </c>
      <c r="D174" s="21" t="s">
        <v>208</v>
      </c>
      <c r="E174" s="51"/>
      <c r="F174" s="51"/>
      <c r="G174" s="21"/>
      <c r="H174" s="128">
        <f>SUM(G175:G175)</f>
        <v>225</v>
      </c>
      <c r="I174" s="130">
        <v>15</v>
      </c>
      <c r="J174" s="128">
        <f>I174*$D$7</f>
        <v>675</v>
      </c>
      <c r="K174" s="128">
        <f>SUM(G176:G176)</f>
        <v>37.5</v>
      </c>
      <c r="L174" s="132">
        <v>3</v>
      </c>
      <c r="M174" s="128">
        <f>L174*$D$7</f>
        <v>135</v>
      </c>
      <c r="N174" s="57"/>
      <c r="O174" s="134">
        <f>SUM(H174+J174)</f>
        <v>900</v>
      </c>
      <c r="P174" s="134">
        <f>SUM(K174+M174)</f>
        <v>172.5</v>
      </c>
    </row>
    <row r="175" spans="3:16" x14ac:dyDescent="0.45">
      <c r="C175" s="61" t="s">
        <v>209</v>
      </c>
      <c r="D175" s="61" t="s">
        <v>159</v>
      </c>
      <c r="E175" s="61">
        <v>300</v>
      </c>
      <c r="F175" s="62">
        <v>0.75</v>
      </c>
      <c r="G175" s="63">
        <f t="shared" ref="G175:G176" si="53">F175*E175</f>
        <v>225</v>
      </c>
      <c r="H175" s="129"/>
      <c r="I175" s="131"/>
      <c r="J175" s="129"/>
      <c r="K175" s="129"/>
      <c r="L175" s="133"/>
      <c r="M175" s="129"/>
      <c r="N175" s="58"/>
      <c r="O175" s="135"/>
      <c r="P175" s="135"/>
    </row>
    <row r="176" spans="3:16" x14ac:dyDescent="0.45">
      <c r="C176" s="64" t="s">
        <v>209</v>
      </c>
      <c r="D176" s="64" t="s">
        <v>159</v>
      </c>
      <c r="E176" s="64">
        <v>50</v>
      </c>
      <c r="F176" s="65">
        <v>0.75</v>
      </c>
      <c r="G176" s="66">
        <f t="shared" si="53"/>
        <v>37.5</v>
      </c>
      <c r="H176" s="129"/>
      <c r="I176" s="131"/>
      <c r="J176" s="129"/>
      <c r="K176" s="129"/>
      <c r="L176" s="133"/>
      <c r="M176" s="129"/>
      <c r="N176" s="58"/>
      <c r="O176" s="135"/>
      <c r="P176" s="135"/>
    </row>
    <row r="177" spans="3:16" x14ac:dyDescent="0.45">
      <c r="C177" s="22" t="s">
        <v>210</v>
      </c>
      <c r="D177" s="21" t="s">
        <v>211</v>
      </c>
      <c r="E177" s="51"/>
      <c r="F177" s="51"/>
      <c r="G177" s="21"/>
      <c r="H177" s="128">
        <f>SUM(G178:G178)</f>
        <v>0</v>
      </c>
      <c r="I177" s="130">
        <v>3</v>
      </c>
      <c r="J177" s="128">
        <f>I177*$D$5</f>
        <v>621</v>
      </c>
      <c r="K177" s="128">
        <f>SUM(G179:G179)</f>
        <v>0</v>
      </c>
      <c r="L177" s="132">
        <v>2</v>
      </c>
      <c r="M177" s="128">
        <f>L177*D8</f>
        <v>330</v>
      </c>
      <c r="N177" s="57"/>
      <c r="O177" s="134">
        <f>SUM(H177+J177)</f>
        <v>621</v>
      </c>
      <c r="P177" s="134">
        <f>SUM(K177+M177)</f>
        <v>330</v>
      </c>
    </row>
    <row r="178" spans="3:16" x14ac:dyDescent="0.45">
      <c r="C178" s="61"/>
      <c r="D178" s="61"/>
      <c r="E178" s="61"/>
      <c r="F178" s="62"/>
      <c r="G178" s="63">
        <f t="shared" ref="G178:G179" si="54">F178*E178</f>
        <v>0</v>
      </c>
      <c r="H178" s="129"/>
      <c r="I178" s="131"/>
      <c r="J178" s="129"/>
      <c r="K178" s="129"/>
      <c r="L178" s="133"/>
      <c r="M178" s="129"/>
      <c r="N178" s="58"/>
      <c r="O178" s="135"/>
      <c r="P178" s="135"/>
    </row>
    <row r="179" spans="3:16" x14ac:dyDescent="0.45">
      <c r="C179" s="64"/>
      <c r="D179" s="64"/>
      <c r="E179" s="64"/>
      <c r="F179" s="65"/>
      <c r="G179" s="66">
        <f t="shared" si="54"/>
        <v>0</v>
      </c>
      <c r="H179" s="129"/>
      <c r="I179" s="131"/>
      <c r="J179" s="129"/>
      <c r="K179" s="129"/>
      <c r="L179" s="133"/>
      <c r="M179" s="129"/>
      <c r="N179" s="58"/>
      <c r="O179" s="135"/>
      <c r="P179" s="135"/>
    </row>
    <row r="180" spans="3:16" x14ac:dyDescent="0.45">
      <c r="C180" s="22" t="s">
        <v>212</v>
      </c>
      <c r="D180" s="21" t="s">
        <v>213</v>
      </c>
      <c r="E180" s="51"/>
      <c r="F180" s="51"/>
      <c r="G180" s="21"/>
      <c r="H180" s="128">
        <f>SUM(G181:G181)</f>
        <v>0</v>
      </c>
      <c r="I180" s="130">
        <v>4</v>
      </c>
      <c r="J180" s="128"/>
      <c r="K180" s="128">
        <f>SUM(G182:G182)</f>
        <v>0</v>
      </c>
      <c r="L180" s="132">
        <v>0</v>
      </c>
      <c r="M180" s="128">
        <v>0</v>
      </c>
      <c r="N180" s="57"/>
      <c r="O180" s="134">
        <f>SUM(H180+J180)</f>
        <v>0</v>
      </c>
      <c r="P180" s="134">
        <f>SUM(K180+M180)</f>
        <v>0</v>
      </c>
    </row>
    <row r="181" spans="3:16" x14ac:dyDescent="0.45">
      <c r="C181" s="61"/>
      <c r="D181" s="61"/>
      <c r="E181" s="61"/>
      <c r="F181" s="62"/>
      <c r="G181" s="63">
        <f t="shared" ref="G181:G182" si="55">F181*E181</f>
        <v>0</v>
      </c>
      <c r="H181" s="129"/>
      <c r="I181" s="131"/>
      <c r="J181" s="129"/>
      <c r="K181" s="129"/>
      <c r="L181" s="133"/>
      <c r="M181" s="129"/>
      <c r="N181" s="58"/>
      <c r="O181" s="135"/>
      <c r="P181" s="135"/>
    </row>
    <row r="182" spans="3:16" x14ac:dyDescent="0.45">
      <c r="C182" s="64"/>
      <c r="D182" s="64"/>
      <c r="E182" s="64"/>
      <c r="F182" s="65"/>
      <c r="G182" s="66">
        <f t="shared" si="55"/>
        <v>0</v>
      </c>
      <c r="H182" s="129"/>
      <c r="I182" s="131"/>
      <c r="J182" s="129"/>
      <c r="K182" s="129"/>
      <c r="L182" s="133"/>
      <c r="M182" s="129"/>
      <c r="N182" s="58"/>
      <c r="O182" s="135"/>
      <c r="P182" s="135"/>
    </row>
    <row r="183" spans="3:16" x14ac:dyDescent="0.45">
      <c r="C183" s="142" t="s">
        <v>133</v>
      </c>
      <c r="D183" s="142"/>
      <c r="E183" s="142"/>
      <c r="F183" s="142"/>
      <c r="G183" s="142"/>
      <c r="H183" s="67">
        <f>SUM(H171:H182)</f>
        <v>1225</v>
      </c>
      <c r="I183" s="68">
        <f t="shared" ref="I183:P183" si="56">SUM(I171:I182)</f>
        <v>28</v>
      </c>
      <c r="J183" s="67">
        <f t="shared" si="56"/>
        <v>1566</v>
      </c>
      <c r="K183" s="67">
        <f t="shared" si="56"/>
        <v>287.5</v>
      </c>
      <c r="L183" s="68">
        <f t="shared" si="56"/>
        <v>11</v>
      </c>
      <c r="M183" s="67">
        <f t="shared" si="56"/>
        <v>735</v>
      </c>
      <c r="N183" s="67">
        <f t="shared" si="56"/>
        <v>0</v>
      </c>
      <c r="O183" s="67">
        <f t="shared" si="56"/>
        <v>2791</v>
      </c>
      <c r="P183" s="67">
        <f t="shared" si="56"/>
        <v>1022.5</v>
      </c>
    </row>
    <row r="185" spans="3:16" ht="21" x14ac:dyDescent="0.65">
      <c r="G185" s="78" t="s">
        <v>214</v>
      </c>
      <c r="H185" s="79">
        <f>SUM(H183+H168+H142+H116+H90+H64+H38)</f>
        <v>128395.66</v>
      </c>
      <c r="I185" s="80">
        <f t="shared" ref="I185:P185" si="57">SUM(I183+I168+I142+I116+I90+I64+I38)</f>
        <v>856.69696969696963</v>
      </c>
      <c r="J185" s="79">
        <f t="shared" si="57"/>
        <v>55317.696969696968</v>
      </c>
      <c r="K185" s="79">
        <f t="shared" si="57"/>
        <v>71325</v>
      </c>
      <c r="L185" s="80">
        <f t="shared" si="57"/>
        <v>258.08454545454543</v>
      </c>
      <c r="M185" s="79">
        <f t="shared" si="57"/>
        <v>16597.53787878788</v>
      </c>
      <c r="N185" s="79">
        <f t="shared" si="57"/>
        <v>0</v>
      </c>
      <c r="O185" s="79">
        <f t="shared" si="57"/>
        <v>183713.35696969696</v>
      </c>
      <c r="P185" s="79">
        <f t="shared" si="57"/>
        <v>87922.537878787873</v>
      </c>
    </row>
    <row r="187" spans="3:16" x14ac:dyDescent="0.45">
      <c r="I187" s="73"/>
    </row>
  </sheetData>
  <dataConsolidate/>
  <mergeCells count="369">
    <mergeCell ref="C15:G15"/>
    <mergeCell ref="H16:H18"/>
    <mergeCell ref="I16:I18"/>
    <mergeCell ref="J16:J18"/>
    <mergeCell ref="K16:K18"/>
    <mergeCell ref="L16:L18"/>
    <mergeCell ref="M16:M18"/>
    <mergeCell ref="O16:O18"/>
    <mergeCell ref="P16:P18"/>
    <mergeCell ref="H19:H21"/>
    <mergeCell ref="I19:I21"/>
    <mergeCell ref="J19:J21"/>
    <mergeCell ref="K19:K21"/>
    <mergeCell ref="L19:L21"/>
    <mergeCell ref="M19:M21"/>
    <mergeCell ref="O19:O21"/>
    <mergeCell ref="P19:P21"/>
    <mergeCell ref="C22:G22"/>
    <mergeCell ref="C25:G25"/>
    <mergeCell ref="H26:H28"/>
    <mergeCell ref="I26:I28"/>
    <mergeCell ref="J26:J28"/>
    <mergeCell ref="K26:K28"/>
    <mergeCell ref="L26:L28"/>
    <mergeCell ref="M26:M28"/>
    <mergeCell ref="O26:O28"/>
    <mergeCell ref="P26:P28"/>
    <mergeCell ref="H29:H31"/>
    <mergeCell ref="I29:I31"/>
    <mergeCell ref="J29:J31"/>
    <mergeCell ref="K29:K31"/>
    <mergeCell ref="L29:L31"/>
    <mergeCell ref="M29:M31"/>
    <mergeCell ref="O29:O31"/>
    <mergeCell ref="P29:P31"/>
    <mergeCell ref="O32:O34"/>
    <mergeCell ref="P32:P34"/>
    <mergeCell ref="H35:H37"/>
    <mergeCell ref="I35:I37"/>
    <mergeCell ref="J35:J37"/>
    <mergeCell ref="K35:K37"/>
    <mergeCell ref="L35:L37"/>
    <mergeCell ref="M35:M37"/>
    <mergeCell ref="O35:O37"/>
    <mergeCell ref="P35:P37"/>
    <mergeCell ref="H32:H34"/>
    <mergeCell ref="I32:I34"/>
    <mergeCell ref="J32:J34"/>
    <mergeCell ref="K32:K34"/>
    <mergeCell ref="L32:L34"/>
    <mergeCell ref="M32:M34"/>
    <mergeCell ref="L41:L45"/>
    <mergeCell ref="M41:M45"/>
    <mergeCell ref="O41:O45"/>
    <mergeCell ref="P41:P45"/>
    <mergeCell ref="C38:G38"/>
    <mergeCell ref="C40:G40"/>
    <mergeCell ref="H41:H45"/>
    <mergeCell ref="I41:I45"/>
    <mergeCell ref="J41:J45"/>
    <mergeCell ref="K41:K45"/>
    <mergeCell ref="H50:H51"/>
    <mergeCell ref="I50:I51"/>
    <mergeCell ref="J50:J51"/>
    <mergeCell ref="K50:K51"/>
    <mergeCell ref="L50:L51"/>
    <mergeCell ref="M50:M51"/>
    <mergeCell ref="O50:O51"/>
    <mergeCell ref="P50:P51"/>
    <mergeCell ref="P57:P59"/>
    <mergeCell ref="H70:H73"/>
    <mergeCell ref="I70:I73"/>
    <mergeCell ref="J70:J73"/>
    <mergeCell ref="K70:K73"/>
    <mergeCell ref="L70:L73"/>
    <mergeCell ref="M70:M73"/>
    <mergeCell ref="C64:G64"/>
    <mergeCell ref="C66:G66"/>
    <mergeCell ref="P70:P73"/>
    <mergeCell ref="H67:H69"/>
    <mergeCell ref="H74:H78"/>
    <mergeCell ref="I74:I78"/>
    <mergeCell ref="J74:J78"/>
    <mergeCell ref="K74:K78"/>
    <mergeCell ref="L74:L78"/>
    <mergeCell ref="M74:M78"/>
    <mergeCell ref="O74:O78"/>
    <mergeCell ref="P74:P78"/>
    <mergeCell ref="P79:P80"/>
    <mergeCell ref="H81:H85"/>
    <mergeCell ref="I81:I85"/>
    <mergeCell ref="J81:J85"/>
    <mergeCell ref="K81:K85"/>
    <mergeCell ref="L81:L85"/>
    <mergeCell ref="M81:M85"/>
    <mergeCell ref="O81:O85"/>
    <mergeCell ref="P81:P85"/>
    <mergeCell ref="H79:H80"/>
    <mergeCell ref="I79:I80"/>
    <mergeCell ref="J79:J80"/>
    <mergeCell ref="K79:K80"/>
    <mergeCell ref="L79:L80"/>
    <mergeCell ref="M79:M80"/>
    <mergeCell ref="C90:G90"/>
    <mergeCell ref="C92:G92"/>
    <mergeCell ref="O86:O87"/>
    <mergeCell ref="P86:P87"/>
    <mergeCell ref="H88:H89"/>
    <mergeCell ref="I88:I89"/>
    <mergeCell ref="J88:J89"/>
    <mergeCell ref="K88:K89"/>
    <mergeCell ref="L88:L89"/>
    <mergeCell ref="M88:M89"/>
    <mergeCell ref="O88:O89"/>
    <mergeCell ref="P88:P89"/>
    <mergeCell ref="H86:H87"/>
    <mergeCell ref="I86:I87"/>
    <mergeCell ref="J86:J87"/>
    <mergeCell ref="K86:K87"/>
    <mergeCell ref="L86:L87"/>
    <mergeCell ref="M86:M87"/>
    <mergeCell ref="O96:O99"/>
    <mergeCell ref="P96:P99"/>
    <mergeCell ref="H100:H104"/>
    <mergeCell ref="I100:I104"/>
    <mergeCell ref="J100:J104"/>
    <mergeCell ref="K100:K104"/>
    <mergeCell ref="L100:L104"/>
    <mergeCell ref="M100:M104"/>
    <mergeCell ref="O100:O104"/>
    <mergeCell ref="P100:P104"/>
    <mergeCell ref="H96:H99"/>
    <mergeCell ref="I96:I99"/>
    <mergeCell ref="J96:J99"/>
    <mergeCell ref="K96:K99"/>
    <mergeCell ref="L96:L99"/>
    <mergeCell ref="M96:M99"/>
    <mergeCell ref="K112:K113"/>
    <mergeCell ref="L112:L113"/>
    <mergeCell ref="M112:M113"/>
    <mergeCell ref="O105:O106"/>
    <mergeCell ref="P105:P106"/>
    <mergeCell ref="H107:H111"/>
    <mergeCell ref="I107:I111"/>
    <mergeCell ref="J107:J111"/>
    <mergeCell ref="K107:K111"/>
    <mergeCell ref="L107:L111"/>
    <mergeCell ref="M107:M111"/>
    <mergeCell ref="O107:O111"/>
    <mergeCell ref="P107:P111"/>
    <mergeCell ref="H105:H106"/>
    <mergeCell ref="I105:I106"/>
    <mergeCell ref="J105:J106"/>
    <mergeCell ref="K105:K106"/>
    <mergeCell ref="L105:L106"/>
    <mergeCell ref="M105:M106"/>
    <mergeCell ref="C170:G170"/>
    <mergeCell ref="H171:H173"/>
    <mergeCell ref="I171:I173"/>
    <mergeCell ref="J171:J173"/>
    <mergeCell ref="K171:K173"/>
    <mergeCell ref="H131:H132"/>
    <mergeCell ref="I131:I132"/>
    <mergeCell ref="J131:J132"/>
    <mergeCell ref="K131:K132"/>
    <mergeCell ref="C168:G168"/>
    <mergeCell ref="H166:H167"/>
    <mergeCell ref="I166:I167"/>
    <mergeCell ref="J166:J167"/>
    <mergeCell ref="K166:K167"/>
    <mergeCell ref="H164:H165"/>
    <mergeCell ref="I164:I165"/>
    <mergeCell ref="J164:J165"/>
    <mergeCell ref="K164:K165"/>
    <mergeCell ref="H152:H156"/>
    <mergeCell ref="I152:I156"/>
    <mergeCell ref="J152:J156"/>
    <mergeCell ref="K152:K156"/>
    <mergeCell ref="H138:H139"/>
    <mergeCell ref="I138:I139"/>
    <mergeCell ref="M177:M179"/>
    <mergeCell ref="O177:O179"/>
    <mergeCell ref="P177:P179"/>
    <mergeCell ref="L171:L173"/>
    <mergeCell ref="M171:M173"/>
    <mergeCell ref="O171:O173"/>
    <mergeCell ref="P171:P173"/>
    <mergeCell ref="H174:H176"/>
    <mergeCell ref="I174:I176"/>
    <mergeCell ref="J174:J176"/>
    <mergeCell ref="K174:K176"/>
    <mergeCell ref="L174:L176"/>
    <mergeCell ref="M174:M176"/>
    <mergeCell ref="O180:O182"/>
    <mergeCell ref="P180:P182"/>
    <mergeCell ref="C183:G183"/>
    <mergeCell ref="C1:P1"/>
    <mergeCell ref="H52:H56"/>
    <mergeCell ref="I52:I56"/>
    <mergeCell ref="J52:J56"/>
    <mergeCell ref="K52:K56"/>
    <mergeCell ref="L52:L56"/>
    <mergeCell ref="M52:M56"/>
    <mergeCell ref="H180:H182"/>
    <mergeCell ref="I180:I182"/>
    <mergeCell ref="J180:J182"/>
    <mergeCell ref="K180:K182"/>
    <mergeCell ref="L180:L182"/>
    <mergeCell ref="M180:M182"/>
    <mergeCell ref="O174:O176"/>
    <mergeCell ref="P174:P176"/>
    <mergeCell ref="H177:H179"/>
    <mergeCell ref="I177:I179"/>
    <mergeCell ref="J177:J179"/>
    <mergeCell ref="K177:K179"/>
    <mergeCell ref="L177:L179"/>
    <mergeCell ref="I46:I49"/>
    <mergeCell ref="J46:J49"/>
    <mergeCell ref="K46:K49"/>
    <mergeCell ref="L46:L49"/>
    <mergeCell ref="M46:M49"/>
    <mergeCell ref="O52:O56"/>
    <mergeCell ref="P52:P56"/>
    <mergeCell ref="K67:K69"/>
    <mergeCell ref="J67:J69"/>
    <mergeCell ref="I67:I69"/>
    <mergeCell ref="P46:P49"/>
    <mergeCell ref="P67:P69"/>
    <mergeCell ref="K60:K63"/>
    <mergeCell ref="L60:L63"/>
    <mergeCell ref="M60:M63"/>
    <mergeCell ref="O60:O63"/>
    <mergeCell ref="P60:P63"/>
    <mergeCell ref="H93:H95"/>
    <mergeCell ref="I93:I95"/>
    <mergeCell ref="J93:J95"/>
    <mergeCell ref="K93:K95"/>
    <mergeCell ref="O46:O49"/>
    <mergeCell ref="H57:H59"/>
    <mergeCell ref="I57:I59"/>
    <mergeCell ref="J57:J59"/>
    <mergeCell ref="K57:K59"/>
    <mergeCell ref="L57:L59"/>
    <mergeCell ref="M57:M59"/>
    <mergeCell ref="O57:O59"/>
    <mergeCell ref="O79:O80"/>
    <mergeCell ref="O70:O73"/>
    <mergeCell ref="L67:L69"/>
    <mergeCell ref="M67:M69"/>
    <mergeCell ref="O67:O69"/>
    <mergeCell ref="H60:H63"/>
    <mergeCell ref="I60:I63"/>
    <mergeCell ref="J60:J63"/>
    <mergeCell ref="L93:L95"/>
    <mergeCell ref="M93:M95"/>
    <mergeCell ref="O93:O95"/>
    <mergeCell ref="H46:H49"/>
    <mergeCell ref="P93:P95"/>
    <mergeCell ref="C118:G118"/>
    <mergeCell ref="H119:H121"/>
    <mergeCell ref="I119:I121"/>
    <mergeCell ref="J119:J121"/>
    <mergeCell ref="K119:K121"/>
    <mergeCell ref="L119:L121"/>
    <mergeCell ref="C116:G116"/>
    <mergeCell ref="O112:O113"/>
    <mergeCell ref="P112:P113"/>
    <mergeCell ref="H114:H115"/>
    <mergeCell ref="I114:I115"/>
    <mergeCell ref="J114:J115"/>
    <mergeCell ref="K114:K115"/>
    <mergeCell ref="L114:L115"/>
    <mergeCell ref="M114:M115"/>
    <mergeCell ref="O114:O115"/>
    <mergeCell ref="P114:P115"/>
    <mergeCell ref="H112:H113"/>
    <mergeCell ref="I112:I113"/>
    <mergeCell ref="J112:J113"/>
    <mergeCell ref="M119:M121"/>
    <mergeCell ref="O119:O121"/>
    <mergeCell ref="P119:P121"/>
    <mergeCell ref="H122:H125"/>
    <mergeCell ref="I122:I125"/>
    <mergeCell ref="J122:J125"/>
    <mergeCell ref="K122:K125"/>
    <mergeCell ref="L122:L125"/>
    <mergeCell ref="M122:M125"/>
    <mergeCell ref="O122:O125"/>
    <mergeCell ref="P122:P125"/>
    <mergeCell ref="H126:H130"/>
    <mergeCell ref="I126:I130"/>
    <mergeCell ref="J126:J130"/>
    <mergeCell ref="K126:K130"/>
    <mergeCell ref="L126:L130"/>
    <mergeCell ref="M126:M130"/>
    <mergeCell ref="O126:O130"/>
    <mergeCell ref="P126:P130"/>
    <mergeCell ref="O131:O132"/>
    <mergeCell ref="P131:P132"/>
    <mergeCell ref="H133:H137"/>
    <mergeCell ref="I133:I137"/>
    <mergeCell ref="J133:J137"/>
    <mergeCell ref="K133:K137"/>
    <mergeCell ref="L133:L137"/>
    <mergeCell ref="M133:M137"/>
    <mergeCell ref="O133:O137"/>
    <mergeCell ref="P133:P137"/>
    <mergeCell ref="L131:L132"/>
    <mergeCell ref="M131:M132"/>
    <mergeCell ref="L138:L139"/>
    <mergeCell ref="M138:M139"/>
    <mergeCell ref="O138:O139"/>
    <mergeCell ref="P138:P139"/>
    <mergeCell ref="H140:H141"/>
    <mergeCell ref="I140:I141"/>
    <mergeCell ref="J140:J141"/>
    <mergeCell ref="K140:K141"/>
    <mergeCell ref="L140:L141"/>
    <mergeCell ref="M140:M141"/>
    <mergeCell ref="J138:J139"/>
    <mergeCell ref="K138:K139"/>
    <mergeCell ref="O140:O141"/>
    <mergeCell ref="P140:P141"/>
    <mergeCell ref="C142:G142"/>
    <mergeCell ref="C144:G144"/>
    <mergeCell ref="H145:H147"/>
    <mergeCell ref="I145:I147"/>
    <mergeCell ref="J145:J147"/>
    <mergeCell ref="K145:K147"/>
    <mergeCell ref="L145:L147"/>
    <mergeCell ref="M145:M147"/>
    <mergeCell ref="O145:O147"/>
    <mergeCell ref="P145:P147"/>
    <mergeCell ref="H148:H151"/>
    <mergeCell ref="I148:I151"/>
    <mergeCell ref="J148:J151"/>
    <mergeCell ref="K148:K151"/>
    <mergeCell ref="L148:L151"/>
    <mergeCell ref="M148:M151"/>
    <mergeCell ref="O148:O151"/>
    <mergeCell ref="P148:P151"/>
    <mergeCell ref="L152:L156"/>
    <mergeCell ref="M152:M156"/>
    <mergeCell ref="O152:O156"/>
    <mergeCell ref="P152:P156"/>
    <mergeCell ref="H157:H158"/>
    <mergeCell ref="I157:I158"/>
    <mergeCell ref="J157:J158"/>
    <mergeCell ref="K157:K158"/>
    <mergeCell ref="L157:L158"/>
    <mergeCell ref="M157:M158"/>
    <mergeCell ref="L166:L167"/>
    <mergeCell ref="M166:M167"/>
    <mergeCell ref="O166:O167"/>
    <mergeCell ref="P166:P167"/>
    <mergeCell ref="O157:O158"/>
    <mergeCell ref="P157:P158"/>
    <mergeCell ref="H159:H163"/>
    <mergeCell ref="I159:I163"/>
    <mergeCell ref="J159:J163"/>
    <mergeCell ref="K159:K163"/>
    <mergeCell ref="L159:L163"/>
    <mergeCell ref="M159:M163"/>
    <mergeCell ref="O159:O163"/>
    <mergeCell ref="P159:P163"/>
    <mergeCell ref="L164:L165"/>
    <mergeCell ref="M164:M165"/>
    <mergeCell ref="O164:O165"/>
    <mergeCell ref="P164:P16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DAA9-3766-4F5F-B8D5-83D8269EEE7C}">
  <sheetPr>
    <tabColor theme="5"/>
  </sheetPr>
  <dimension ref="C1:T165"/>
  <sheetViews>
    <sheetView topLeftCell="A121" zoomScale="70" zoomScaleNormal="70" workbookViewId="0">
      <selection activeCell="P166" sqref="P166"/>
    </sheetView>
  </sheetViews>
  <sheetFormatPr defaultRowHeight="14.25" x14ac:dyDescent="0.45"/>
  <cols>
    <col min="2" max="2" width="6.59765625" customWidth="1"/>
    <col min="3" max="3" width="29.1328125" customWidth="1"/>
    <col min="4" max="4" width="19" customWidth="1"/>
    <col min="6" max="6" width="15.1328125" customWidth="1"/>
    <col min="7" max="7" width="21" customWidth="1"/>
    <col min="8" max="8" width="18.86328125" customWidth="1"/>
    <col min="9" max="9" width="16.3984375" customWidth="1"/>
    <col min="10" max="10" width="19.73046875" customWidth="1"/>
    <col min="11" max="11" width="18" customWidth="1"/>
    <col min="12" max="12" width="17.59765625" customWidth="1"/>
    <col min="13" max="13" width="19.1328125" customWidth="1"/>
    <col min="14" max="14" width="2.1328125" customWidth="1"/>
    <col min="15" max="15" width="19" customWidth="1"/>
    <col min="16" max="16" width="21.1328125" customWidth="1"/>
    <col min="18" max="18" width="14.59765625" customWidth="1"/>
  </cols>
  <sheetData>
    <row r="1" spans="3:16" ht="21" x14ac:dyDescent="0.65">
      <c r="C1" s="157" t="s">
        <v>244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3" spans="3:16" x14ac:dyDescent="0.45">
      <c r="C3" t="s">
        <v>100</v>
      </c>
      <c r="G3" t="s">
        <v>101</v>
      </c>
    </row>
    <row r="4" spans="3:16" x14ac:dyDescent="0.45">
      <c r="C4" s="19" t="s">
        <v>102</v>
      </c>
      <c r="G4" s="19" t="s">
        <v>103</v>
      </c>
    </row>
    <row r="5" spans="3:16" x14ac:dyDescent="0.45">
      <c r="C5" s="20" t="s">
        <v>104</v>
      </c>
      <c r="D5" s="40">
        <v>207</v>
      </c>
      <c r="E5" t="s">
        <v>105</v>
      </c>
      <c r="G5" s="20" t="s">
        <v>106</v>
      </c>
      <c r="H5">
        <v>6</v>
      </c>
      <c r="I5" t="s">
        <v>107</v>
      </c>
    </row>
    <row r="6" spans="3:16" x14ac:dyDescent="0.45">
      <c r="C6" s="20" t="s">
        <v>108</v>
      </c>
      <c r="D6" s="40">
        <v>72</v>
      </c>
      <c r="E6" t="s">
        <v>105</v>
      </c>
      <c r="G6" s="20" t="s">
        <v>109</v>
      </c>
      <c r="H6">
        <v>30</v>
      </c>
      <c r="I6" t="s">
        <v>107</v>
      </c>
    </row>
    <row r="7" spans="3:16" x14ac:dyDescent="0.45">
      <c r="C7" s="20" t="s">
        <v>110</v>
      </c>
      <c r="D7" s="40">
        <v>45</v>
      </c>
      <c r="E7" t="s">
        <v>105</v>
      </c>
      <c r="G7" s="20" t="s">
        <v>111</v>
      </c>
      <c r="H7">
        <v>110</v>
      </c>
      <c r="I7" t="s">
        <v>107</v>
      </c>
    </row>
    <row r="8" spans="3:16" x14ac:dyDescent="0.45">
      <c r="C8" s="20" t="s">
        <v>112</v>
      </c>
      <c r="D8" s="40">
        <v>165</v>
      </c>
      <c r="E8" t="s">
        <v>105</v>
      </c>
      <c r="G8" s="20" t="s">
        <v>113</v>
      </c>
      <c r="H8" s="73">
        <v>50</v>
      </c>
      <c r="I8" t="s">
        <v>107</v>
      </c>
      <c r="J8" t="s">
        <v>216</v>
      </c>
    </row>
    <row r="9" spans="3:16" x14ac:dyDescent="0.45">
      <c r="C9" s="20" t="s">
        <v>217</v>
      </c>
      <c r="D9" s="40">
        <v>55</v>
      </c>
      <c r="E9" t="s">
        <v>105</v>
      </c>
      <c r="G9" s="20" t="s">
        <v>115</v>
      </c>
      <c r="H9" s="73">
        <v>300</v>
      </c>
      <c r="I9" t="s">
        <v>107</v>
      </c>
    </row>
    <row r="10" spans="3:16" x14ac:dyDescent="0.45">
      <c r="C10" s="20" t="s">
        <v>115</v>
      </c>
      <c r="D10" s="40">
        <v>92</v>
      </c>
      <c r="E10" t="s">
        <v>105</v>
      </c>
      <c r="G10" s="20" t="s">
        <v>116</v>
      </c>
      <c r="H10" s="40">
        <v>225</v>
      </c>
      <c r="I10" t="s">
        <v>117</v>
      </c>
    </row>
    <row r="11" spans="3:16" x14ac:dyDescent="0.45">
      <c r="G11" s="20" t="s">
        <v>118</v>
      </c>
      <c r="H11">
        <v>1</v>
      </c>
      <c r="I11" t="s">
        <v>119</v>
      </c>
    </row>
    <row r="12" spans="3:16" x14ac:dyDescent="0.45">
      <c r="G12" s="20" t="s">
        <v>218</v>
      </c>
    </row>
    <row r="14" spans="3:16" ht="14.65" thickBot="1" x14ac:dyDescent="0.5"/>
    <row r="15" spans="3:16" x14ac:dyDescent="0.45">
      <c r="C15" s="136" t="s">
        <v>120</v>
      </c>
      <c r="D15" s="136"/>
      <c r="E15" s="136"/>
      <c r="F15" s="136"/>
      <c r="G15" s="137"/>
      <c r="H15" s="107" t="s">
        <v>121</v>
      </c>
      <c r="I15" s="107" t="s">
        <v>122</v>
      </c>
      <c r="J15" s="107" t="s">
        <v>123</v>
      </c>
      <c r="K15" s="48" t="s">
        <v>124</v>
      </c>
      <c r="L15" s="48" t="s">
        <v>125</v>
      </c>
      <c r="M15" s="48" t="s">
        <v>126</v>
      </c>
      <c r="N15" s="48"/>
      <c r="O15" s="107" t="s">
        <v>127</v>
      </c>
      <c r="P15" s="49" t="s">
        <v>128</v>
      </c>
    </row>
    <row r="16" spans="3:16" x14ac:dyDescent="0.45">
      <c r="C16" s="22" t="s">
        <v>129</v>
      </c>
      <c r="D16" s="21" t="s">
        <v>130</v>
      </c>
      <c r="E16" s="51"/>
      <c r="F16" s="51"/>
      <c r="G16" s="21"/>
      <c r="H16" s="128">
        <f>SUM(G17:G17)</f>
        <v>0</v>
      </c>
      <c r="I16" s="130">
        <v>8</v>
      </c>
      <c r="J16" s="128">
        <f>D7*I16</f>
        <v>360</v>
      </c>
      <c r="K16" s="128">
        <f>SUM(G18:G18)</f>
        <v>0</v>
      </c>
      <c r="L16" s="132">
        <v>8</v>
      </c>
      <c r="M16" s="128">
        <f>L16*D7</f>
        <v>360</v>
      </c>
      <c r="N16" s="57"/>
      <c r="O16" s="134">
        <f>SUM(H16+J16)</f>
        <v>360</v>
      </c>
      <c r="P16" s="134">
        <f>SUM(K16+M16)</f>
        <v>360</v>
      </c>
    </row>
    <row r="17" spans="3:17" ht="15.75" customHeight="1" x14ac:dyDescent="0.45">
      <c r="C17" s="108"/>
      <c r="D17" s="108"/>
      <c r="E17" s="108"/>
      <c r="F17" s="109"/>
      <c r="G17" s="110"/>
      <c r="H17" s="129"/>
      <c r="I17" s="131"/>
      <c r="J17" s="129"/>
      <c r="K17" s="129"/>
      <c r="L17" s="133"/>
      <c r="M17" s="129"/>
      <c r="N17" s="58"/>
      <c r="O17" s="135"/>
      <c r="P17" s="135"/>
    </row>
    <row r="18" spans="3:17" x14ac:dyDescent="0.45">
      <c r="C18" s="108"/>
      <c r="D18" s="108"/>
      <c r="E18" s="108"/>
      <c r="F18" s="109"/>
      <c r="G18" s="110"/>
      <c r="H18" s="129"/>
      <c r="I18" s="131"/>
      <c r="J18" s="129"/>
      <c r="K18" s="129"/>
      <c r="L18" s="133"/>
      <c r="M18" s="129"/>
      <c r="N18" s="58"/>
      <c r="O18" s="135"/>
      <c r="P18" s="135"/>
    </row>
    <row r="19" spans="3:17" x14ac:dyDescent="0.45">
      <c r="C19" s="22" t="s">
        <v>131</v>
      </c>
      <c r="D19" s="21" t="s">
        <v>132</v>
      </c>
      <c r="E19" s="51"/>
      <c r="F19" s="51"/>
      <c r="G19" s="21"/>
      <c r="H19" s="128">
        <f>SUM(G20:G20)</f>
        <v>0</v>
      </c>
      <c r="I19" s="130">
        <v>0</v>
      </c>
      <c r="J19" s="128">
        <f>D6*I19</f>
        <v>0</v>
      </c>
      <c r="K19" s="128">
        <f>SUM(G21:G21)</f>
        <v>0</v>
      </c>
      <c r="L19" s="132">
        <v>0</v>
      </c>
      <c r="M19" s="128">
        <v>0</v>
      </c>
      <c r="N19" s="57"/>
      <c r="O19" s="134">
        <f>SUM(H19+J19)</f>
        <v>0</v>
      </c>
      <c r="P19" s="134">
        <f>SUM(K19+M19)</f>
        <v>0</v>
      </c>
    </row>
    <row r="20" spans="3:17" x14ac:dyDescent="0.45">
      <c r="C20" s="108"/>
      <c r="D20" s="108"/>
      <c r="E20" s="108"/>
      <c r="F20" s="109"/>
      <c r="G20" s="110"/>
      <c r="H20" s="129"/>
      <c r="I20" s="131"/>
      <c r="J20" s="129"/>
      <c r="K20" s="129"/>
      <c r="L20" s="133"/>
      <c r="M20" s="129"/>
      <c r="N20" s="58"/>
      <c r="O20" s="135"/>
      <c r="P20" s="135"/>
    </row>
    <row r="21" spans="3:17" x14ac:dyDescent="0.45">
      <c r="C21" s="108"/>
      <c r="D21" s="108"/>
      <c r="E21" s="108"/>
      <c r="F21" s="109"/>
      <c r="G21" s="110"/>
      <c r="H21" s="129"/>
      <c r="I21" s="131"/>
      <c r="J21" s="129"/>
      <c r="K21" s="129"/>
      <c r="L21" s="133"/>
      <c r="M21" s="129"/>
      <c r="N21" s="58"/>
      <c r="O21" s="135"/>
      <c r="P21" s="135"/>
    </row>
    <row r="22" spans="3:17" x14ac:dyDescent="0.45">
      <c r="C22" s="142" t="s">
        <v>133</v>
      </c>
      <c r="D22" s="142"/>
      <c r="E22" s="142"/>
      <c r="F22" s="142"/>
      <c r="G22" s="142"/>
      <c r="H22" s="67">
        <f>SUM(H16:H21)</f>
        <v>0</v>
      </c>
      <c r="I22" s="68">
        <f t="shared" ref="I22:P22" si="0">SUM(I16:I21)</f>
        <v>8</v>
      </c>
      <c r="J22" s="67">
        <f t="shared" si="0"/>
        <v>360</v>
      </c>
      <c r="K22" s="67">
        <f t="shared" si="0"/>
        <v>0</v>
      </c>
      <c r="L22" s="68">
        <f t="shared" si="0"/>
        <v>8</v>
      </c>
      <c r="M22" s="67">
        <f t="shared" si="0"/>
        <v>360</v>
      </c>
      <c r="N22" s="67">
        <f t="shared" si="0"/>
        <v>0</v>
      </c>
      <c r="O22" s="67">
        <f t="shared" si="0"/>
        <v>360</v>
      </c>
      <c r="P22" s="67">
        <f t="shared" si="0"/>
        <v>360</v>
      </c>
      <c r="Q22" t="s">
        <v>134</v>
      </c>
    </row>
    <row r="24" spans="3:17" ht="14.65" thickBot="1" x14ac:dyDescent="0.5"/>
    <row r="25" spans="3:17" x14ac:dyDescent="0.45">
      <c r="C25" s="136" t="s">
        <v>135</v>
      </c>
      <c r="D25" s="136"/>
      <c r="E25" s="136"/>
      <c r="F25" s="136"/>
      <c r="G25" s="137"/>
      <c r="H25" s="107" t="s">
        <v>121</v>
      </c>
      <c r="I25" s="107" t="s">
        <v>122</v>
      </c>
      <c r="J25" s="107" t="s">
        <v>123</v>
      </c>
      <c r="K25" s="48" t="s">
        <v>124</v>
      </c>
      <c r="L25" s="48" t="s">
        <v>125</v>
      </c>
      <c r="M25" s="48" t="s">
        <v>126</v>
      </c>
      <c r="N25" s="48"/>
      <c r="O25" s="107" t="s">
        <v>127</v>
      </c>
      <c r="P25" s="49" t="s">
        <v>128</v>
      </c>
    </row>
    <row r="26" spans="3:17" x14ac:dyDescent="0.45">
      <c r="C26" s="22" t="s">
        <v>136</v>
      </c>
      <c r="D26" s="21" t="s">
        <v>137</v>
      </c>
      <c r="E26" s="51"/>
      <c r="F26" s="51"/>
      <c r="G26" s="21"/>
      <c r="H26" s="128">
        <f>SUM(G27:G27)</f>
        <v>0</v>
      </c>
      <c r="I26" s="130">
        <v>8</v>
      </c>
      <c r="J26" s="128">
        <f>D5*I26</f>
        <v>1656</v>
      </c>
      <c r="K26" s="128">
        <f>SUM(G28:G28)</f>
        <v>0</v>
      </c>
      <c r="L26" s="132">
        <v>8</v>
      </c>
      <c r="M26" s="128">
        <f>L26*D8</f>
        <v>1320</v>
      </c>
      <c r="N26" s="57"/>
      <c r="O26" s="134">
        <f>SUM(H26+J26)</f>
        <v>1656</v>
      </c>
      <c r="P26" s="134">
        <f>SUM(K26+M26)</f>
        <v>1320</v>
      </c>
    </row>
    <row r="27" spans="3:17" x14ac:dyDescent="0.45">
      <c r="C27" s="108"/>
      <c r="D27" s="108"/>
      <c r="E27" s="108"/>
      <c r="F27" s="109"/>
      <c r="G27" s="110"/>
      <c r="H27" s="129"/>
      <c r="I27" s="131"/>
      <c r="J27" s="129"/>
      <c r="K27" s="129"/>
      <c r="L27" s="133"/>
      <c r="M27" s="129"/>
      <c r="N27" s="58"/>
      <c r="O27" s="135"/>
      <c r="P27" s="135"/>
    </row>
    <row r="28" spans="3:17" x14ac:dyDescent="0.45">
      <c r="C28" s="108"/>
      <c r="D28" s="108"/>
      <c r="E28" s="108"/>
      <c r="F28" s="109"/>
      <c r="G28" s="110"/>
      <c r="H28" s="129"/>
      <c r="I28" s="131"/>
      <c r="J28" s="129"/>
      <c r="K28" s="129"/>
      <c r="L28" s="133"/>
      <c r="M28" s="129"/>
      <c r="N28" s="58"/>
      <c r="O28" s="135"/>
      <c r="P28" s="135"/>
    </row>
    <row r="29" spans="3:17" x14ac:dyDescent="0.45">
      <c r="C29" s="22" t="s">
        <v>138</v>
      </c>
      <c r="D29" s="21" t="s">
        <v>139</v>
      </c>
      <c r="E29" s="51"/>
      <c r="F29" s="51"/>
      <c r="G29" s="21"/>
      <c r="H29" s="128">
        <f>SUM(G30:G30)</f>
        <v>0</v>
      </c>
      <c r="I29" s="130">
        <v>0</v>
      </c>
      <c r="J29" s="128">
        <v>0</v>
      </c>
      <c r="K29" s="128">
        <f>SUM(G31:G31)</f>
        <v>0</v>
      </c>
      <c r="L29" s="132">
        <v>0</v>
      </c>
      <c r="M29" s="128">
        <v>0</v>
      </c>
      <c r="N29" s="57"/>
      <c r="O29" s="134">
        <f>SUM(H29+J29)</f>
        <v>0</v>
      </c>
      <c r="P29" s="134">
        <f>SUM(K29+M29)</f>
        <v>0</v>
      </c>
    </row>
    <row r="30" spans="3:17" x14ac:dyDescent="0.45">
      <c r="C30" s="104"/>
      <c r="D30" s="104"/>
      <c r="E30" s="104"/>
      <c r="F30" s="105"/>
      <c r="G30" s="106"/>
      <c r="H30" s="129"/>
      <c r="I30" s="131"/>
      <c r="J30" s="129"/>
      <c r="K30" s="129"/>
      <c r="L30" s="133"/>
      <c r="M30" s="129"/>
      <c r="N30" s="58"/>
      <c r="O30" s="135"/>
      <c r="P30" s="135"/>
    </row>
    <row r="31" spans="3:17" x14ac:dyDescent="0.45">
      <c r="C31" s="64"/>
      <c r="D31" s="64"/>
      <c r="E31" s="64"/>
      <c r="F31" s="65"/>
      <c r="G31" s="66"/>
      <c r="H31" s="129"/>
      <c r="I31" s="131"/>
      <c r="J31" s="129"/>
      <c r="K31" s="129"/>
      <c r="L31" s="133"/>
      <c r="M31" s="129"/>
      <c r="N31" s="58"/>
      <c r="O31" s="135"/>
      <c r="P31" s="135"/>
    </row>
    <row r="32" spans="3:17" x14ac:dyDescent="0.45">
      <c r="C32" s="22" t="s">
        <v>140</v>
      </c>
      <c r="D32" s="21" t="s">
        <v>141</v>
      </c>
      <c r="E32" s="51"/>
      <c r="F32" s="51"/>
      <c r="G32" s="21"/>
      <c r="H32" s="128">
        <f>SUM(G33:G33)</f>
        <v>0</v>
      </c>
      <c r="I32" s="130">
        <v>4</v>
      </c>
      <c r="J32" s="128">
        <f>D8*I32</f>
        <v>660</v>
      </c>
      <c r="K32" s="128">
        <f>SUM(G34:G34)</f>
        <v>0</v>
      </c>
      <c r="L32" s="132">
        <v>4</v>
      </c>
      <c r="M32" s="128">
        <f>L32*D8</f>
        <v>660</v>
      </c>
      <c r="N32" s="57"/>
      <c r="O32" s="134">
        <f>SUM(H32+J32)</f>
        <v>660</v>
      </c>
      <c r="P32" s="134">
        <f>SUM(K32+M32)</f>
        <v>660</v>
      </c>
    </row>
    <row r="33" spans="3:16" x14ac:dyDescent="0.45">
      <c r="C33" s="104"/>
      <c r="D33" s="104"/>
      <c r="E33" s="104"/>
      <c r="F33" s="105"/>
      <c r="G33" s="106"/>
      <c r="H33" s="129"/>
      <c r="I33" s="131"/>
      <c r="J33" s="129"/>
      <c r="K33" s="129"/>
      <c r="L33" s="133"/>
      <c r="M33" s="129"/>
      <c r="N33" s="58"/>
      <c r="O33" s="135"/>
      <c r="P33" s="135"/>
    </row>
    <row r="34" spans="3:16" x14ac:dyDescent="0.45">
      <c r="C34" s="64"/>
      <c r="D34" s="64"/>
      <c r="E34" s="64"/>
      <c r="F34" s="65"/>
      <c r="G34" s="66"/>
      <c r="H34" s="129"/>
      <c r="I34" s="131"/>
      <c r="J34" s="129"/>
      <c r="K34" s="129"/>
      <c r="L34" s="133"/>
      <c r="M34" s="129"/>
      <c r="N34" s="58"/>
      <c r="O34" s="135"/>
      <c r="P34" s="135"/>
    </row>
    <row r="35" spans="3:16" x14ac:dyDescent="0.45">
      <c r="C35" s="22" t="s">
        <v>142</v>
      </c>
      <c r="D35" s="21" t="s">
        <v>143</v>
      </c>
      <c r="E35" s="51"/>
      <c r="F35" s="51"/>
      <c r="G35" s="21"/>
      <c r="H35" s="128">
        <f>SUM(G36:G36)</f>
        <v>0</v>
      </c>
      <c r="I35" s="130">
        <v>0</v>
      </c>
      <c r="J35" s="128">
        <v>2500</v>
      </c>
      <c r="K35" s="128">
        <f>SUM(G37:G37)</f>
        <v>0</v>
      </c>
      <c r="L35" s="132">
        <v>0</v>
      </c>
      <c r="M35" s="128">
        <v>2500</v>
      </c>
      <c r="N35" s="57"/>
      <c r="O35" s="134">
        <f>SUM(H35+J35)</f>
        <v>2500</v>
      </c>
      <c r="P35" s="134">
        <f>SUM(K35+M35)</f>
        <v>2500</v>
      </c>
    </row>
    <row r="36" spans="3:16" x14ac:dyDescent="0.45">
      <c r="C36" s="104"/>
      <c r="D36" s="104"/>
      <c r="E36" s="104"/>
      <c r="F36" s="105"/>
      <c r="G36" s="106"/>
      <c r="H36" s="129"/>
      <c r="I36" s="131"/>
      <c r="J36" s="129"/>
      <c r="K36" s="129"/>
      <c r="L36" s="133"/>
      <c r="M36" s="129"/>
      <c r="N36" s="58"/>
      <c r="O36" s="135"/>
      <c r="P36" s="135"/>
    </row>
    <row r="37" spans="3:16" x14ac:dyDescent="0.45">
      <c r="C37" s="64"/>
      <c r="D37" s="64"/>
      <c r="E37" s="64"/>
      <c r="F37" s="65"/>
      <c r="G37" s="66"/>
      <c r="H37" s="129"/>
      <c r="I37" s="131"/>
      <c r="J37" s="129"/>
      <c r="K37" s="129"/>
      <c r="L37" s="133"/>
      <c r="M37" s="129"/>
      <c r="N37" s="58"/>
      <c r="O37" s="135"/>
      <c r="P37" s="135"/>
    </row>
    <row r="38" spans="3:16" x14ac:dyDescent="0.45">
      <c r="C38" s="142" t="s">
        <v>133</v>
      </c>
      <c r="D38" s="142"/>
      <c r="E38" s="142"/>
      <c r="F38" s="142"/>
      <c r="G38" s="142"/>
      <c r="H38" s="67">
        <f>SUM(H26:H37)</f>
        <v>0</v>
      </c>
      <c r="I38" s="68">
        <f t="shared" ref="I38:P38" si="1">SUM(I26:I37)</f>
        <v>12</v>
      </c>
      <c r="J38" s="67">
        <f t="shared" si="1"/>
        <v>4816</v>
      </c>
      <c r="K38" s="67">
        <f t="shared" si="1"/>
        <v>0</v>
      </c>
      <c r="L38" s="68">
        <f t="shared" si="1"/>
        <v>12</v>
      </c>
      <c r="M38" s="67">
        <f t="shared" si="1"/>
        <v>4480</v>
      </c>
      <c r="N38" s="67">
        <f t="shared" si="1"/>
        <v>0</v>
      </c>
      <c r="O38" s="67">
        <f t="shared" si="1"/>
        <v>4816</v>
      </c>
      <c r="P38" s="67">
        <f t="shared" si="1"/>
        <v>4480</v>
      </c>
    </row>
    <row r="39" spans="3:16" ht="14.65" thickBot="1" x14ac:dyDescent="0.5"/>
    <row r="40" spans="3:16" x14ac:dyDescent="0.45">
      <c r="C40" s="136" t="s">
        <v>144</v>
      </c>
      <c r="D40" s="136"/>
      <c r="E40" s="136"/>
      <c r="F40" s="136"/>
      <c r="G40" s="137"/>
      <c r="H40" s="107" t="s">
        <v>121</v>
      </c>
      <c r="I40" s="107" t="s">
        <v>122</v>
      </c>
      <c r="J40" s="107" t="s">
        <v>123</v>
      </c>
      <c r="K40" s="48" t="s">
        <v>124</v>
      </c>
      <c r="L40" s="48" t="s">
        <v>125</v>
      </c>
      <c r="M40" s="48" t="s">
        <v>126</v>
      </c>
      <c r="N40" s="48"/>
      <c r="O40" s="107" t="s">
        <v>127</v>
      </c>
      <c r="P40" s="49" t="s">
        <v>128</v>
      </c>
    </row>
    <row r="41" spans="3:16" x14ac:dyDescent="0.45">
      <c r="C41" s="22" t="s">
        <v>106</v>
      </c>
      <c r="D41" s="21" t="s">
        <v>145</v>
      </c>
      <c r="E41" s="51"/>
      <c r="F41" s="51"/>
      <c r="G41" s="21"/>
      <c r="H41" s="128">
        <f>SUM(G42:G45)</f>
        <v>265</v>
      </c>
      <c r="I41" s="130">
        <v>9</v>
      </c>
      <c r="J41" s="128">
        <f>D6*I41</f>
        <v>648</v>
      </c>
      <c r="K41" s="128">
        <f>SUM(G42:G45)</f>
        <v>265</v>
      </c>
      <c r="L41" s="132">
        <v>9</v>
      </c>
      <c r="M41" s="128">
        <f>D6*L41</f>
        <v>648</v>
      </c>
      <c r="N41" s="57"/>
      <c r="O41" s="134">
        <f>SUM(H41+J41)</f>
        <v>913</v>
      </c>
      <c r="P41" s="134">
        <f>SUM(K41+M41)</f>
        <v>913</v>
      </c>
    </row>
    <row r="42" spans="3:16" x14ac:dyDescent="0.45">
      <c r="C42" s="108" t="s">
        <v>146</v>
      </c>
      <c r="D42" s="108" t="s">
        <v>220</v>
      </c>
      <c r="E42" s="108">
        <v>20</v>
      </c>
      <c r="F42" s="109">
        <v>1.7</v>
      </c>
      <c r="G42" s="110">
        <f t="shared" ref="G42:G45" si="2">F42*E42</f>
        <v>34</v>
      </c>
      <c r="H42" s="129"/>
      <c r="I42" s="131"/>
      <c r="J42" s="129"/>
      <c r="K42" s="129"/>
      <c r="L42" s="133"/>
      <c r="M42" s="129"/>
      <c r="N42" s="58"/>
      <c r="O42" s="135"/>
      <c r="P42" s="135"/>
    </row>
    <row r="43" spans="3:16" x14ac:dyDescent="0.45">
      <c r="C43" s="108" t="s">
        <v>148</v>
      </c>
      <c r="D43" s="108" t="s">
        <v>149</v>
      </c>
      <c r="E43" s="108">
        <v>2</v>
      </c>
      <c r="F43" s="109">
        <v>35</v>
      </c>
      <c r="G43" s="110">
        <f t="shared" si="2"/>
        <v>70</v>
      </c>
      <c r="H43" s="129"/>
      <c r="I43" s="131"/>
      <c r="J43" s="129"/>
      <c r="K43" s="129"/>
      <c r="L43" s="133"/>
      <c r="M43" s="129"/>
      <c r="N43" s="58"/>
      <c r="O43" s="135"/>
      <c r="P43" s="135"/>
    </row>
    <row r="44" spans="3:16" x14ac:dyDescent="0.45">
      <c r="C44" s="108" t="s">
        <v>150</v>
      </c>
      <c r="D44" s="108" t="s">
        <v>149</v>
      </c>
      <c r="E44" s="108">
        <v>2</v>
      </c>
      <c r="F44" s="109">
        <v>18</v>
      </c>
      <c r="G44" s="110">
        <f t="shared" si="2"/>
        <v>36</v>
      </c>
      <c r="H44" s="129"/>
      <c r="I44" s="131"/>
      <c r="J44" s="129"/>
      <c r="K44" s="129"/>
      <c r="L44" s="133"/>
      <c r="M44" s="129"/>
      <c r="N44" s="58"/>
      <c r="O44" s="135"/>
      <c r="P44" s="135"/>
    </row>
    <row r="45" spans="3:16" x14ac:dyDescent="0.45">
      <c r="C45" s="108" t="s">
        <v>151</v>
      </c>
      <c r="D45" s="108" t="s">
        <v>151</v>
      </c>
      <c r="E45" s="108">
        <v>1</v>
      </c>
      <c r="F45" s="109">
        <v>125</v>
      </c>
      <c r="G45" s="110">
        <f t="shared" si="2"/>
        <v>125</v>
      </c>
      <c r="H45" s="129"/>
      <c r="I45" s="131"/>
      <c r="J45" s="129"/>
      <c r="K45" s="129"/>
      <c r="L45" s="133"/>
      <c r="M45" s="129"/>
      <c r="N45" s="58"/>
      <c r="O45" s="135"/>
      <c r="P45" s="135"/>
    </row>
    <row r="46" spans="3:16" x14ac:dyDescent="0.45">
      <c r="C46" s="22" t="s">
        <v>152</v>
      </c>
      <c r="D46" s="21" t="s">
        <v>153</v>
      </c>
      <c r="E46" s="51"/>
      <c r="F46" s="51"/>
      <c r="G46" s="21"/>
      <c r="H46" s="140">
        <f>SUM(G47:G48)</f>
        <v>285</v>
      </c>
      <c r="I46" s="130">
        <v>6</v>
      </c>
      <c r="J46" s="140">
        <f>D6*I46</f>
        <v>432</v>
      </c>
      <c r="K46" s="140">
        <f>SUM(G47:G48)</f>
        <v>285</v>
      </c>
      <c r="L46" s="130">
        <v>6</v>
      </c>
      <c r="M46" s="140">
        <f>J46</f>
        <v>432</v>
      </c>
      <c r="N46" s="57"/>
      <c r="O46" s="134">
        <f>SUM(H46+J46)</f>
        <v>717</v>
      </c>
      <c r="P46" s="134">
        <f>SUM(K46+M46)</f>
        <v>717</v>
      </c>
    </row>
    <row r="47" spans="3:16" x14ac:dyDescent="0.45">
      <c r="C47" s="108" t="s">
        <v>154</v>
      </c>
      <c r="D47" s="108" t="s">
        <v>149</v>
      </c>
      <c r="E47" s="108">
        <v>3</v>
      </c>
      <c r="F47" s="109">
        <v>45</v>
      </c>
      <c r="G47" s="110">
        <f t="shared" ref="G47:G48" si="3">F47*E47</f>
        <v>135</v>
      </c>
      <c r="H47" s="141"/>
      <c r="I47" s="131"/>
      <c r="J47" s="141"/>
      <c r="K47" s="141"/>
      <c r="L47" s="131"/>
      <c r="M47" s="141"/>
      <c r="N47" s="58"/>
      <c r="O47" s="135"/>
      <c r="P47" s="135"/>
    </row>
    <row r="48" spans="3:16" x14ac:dyDescent="0.45">
      <c r="C48" s="108" t="s">
        <v>155</v>
      </c>
      <c r="D48" s="108" t="s">
        <v>149</v>
      </c>
      <c r="E48" s="108">
        <v>3</v>
      </c>
      <c r="F48" s="109">
        <v>50</v>
      </c>
      <c r="G48" s="110">
        <f t="shared" si="3"/>
        <v>150</v>
      </c>
      <c r="H48" s="141"/>
      <c r="I48" s="131"/>
      <c r="J48" s="141"/>
      <c r="K48" s="141"/>
      <c r="L48" s="131"/>
      <c r="M48" s="141"/>
      <c r="N48" s="58"/>
      <c r="O48" s="135"/>
      <c r="P48" s="135"/>
    </row>
    <row r="49" spans="3:18" x14ac:dyDescent="0.45">
      <c r="C49" s="22" t="s">
        <v>156</v>
      </c>
      <c r="D49" s="21" t="s">
        <v>157</v>
      </c>
      <c r="E49" s="51"/>
      <c r="F49" s="51"/>
      <c r="G49" s="21"/>
      <c r="H49" s="128">
        <f>SUM(G50:G50)</f>
        <v>600</v>
      </c>
      <c r="I49" s="130">
        <v>1.5</v>
      </c>
      <c r="J49" s="151">
        <f>D6</f>
        <v>72</v>
      </c>
      <c r="K49" s="128">
        <f>H49</f>
        <v>600</v>
      </c>
      <c r="L49" s="132">
        <v>1.5</v>
      </c>
      <c r="M49" s="151">
        <f>J49</f>
        <v>72</v>
      </c>
      <c r="N49" s="57"/>
      <c r="O49" s="134">
        <f>SUM(H49+J49)</f>
        <v>672</v>
      </c>
      <c r="P49" s="134">
        <f>SUM(K49+M49)</f>
        <v>672</v>
      </c>
    </row>
    <row r="50" spans="3:18" x14ac:dyDescent="0.45">
      <c r="C50" s="108" t="s">
        <v>158</v>
      </c>
      <c r="D50" s="108" t="s">
        <v>159</v>
      </c>
      <c r="E50" s="108">
        <v>2</v>
      </c>
      <c r="F50" s="109">
        <v>300</v>
      </c>
      <c r="G50" s="110">
        <f t="shared" ref="G50" si="4">F50*E50</f>
        <v>600</v>
      </c>
      <c r="H50" s="129"/>
      <c r="I50" s="131"/>
      <c r="J50" s="129"/>
      <c r="K50" s="129"/>
      <c r="L50" s="133"/>
      <c r="M50" s="129"/>
      <c r="N50" s="58"/>
      <c r="O50" s="135"/>
      <c r="P50" s="135"/>
    </row>
    <row r="51" spans="3:18" x14ac:dyDescent="0.45">
      <c r="C51" s="50" t="s">
        <v>226</v>
      </c>
      <c r="D51" s="51" t="s">
        <v>227</v>
      </c>
      <c r="E51" s="51"/>
      <c r="F51" s="51"/>
      <c r="G51" s="21"/>
      <c r="H51" s="128">
        <f>SUM(G52:G52)</f>
        <v>1530</v>
      </c>
      <c r="I51" s="143">
        <v>8</v>
      </c>
      <c r="J51" s="128">
        <f>$D$6*I51</f>
        <v>576</v>
      </c>
      <c r="K51" s="128">
        <f>SUM(G53:G53)</f>
        <v>360</v>
      </c>
      <c r="L51" s="145">
        <v>2</v>
      </c>
      <c r="M51" s="128">
        <f>L51*$D$7</f>
        <v>90</v>
      </c>
      <c r="N51" s="57"/>
      <c r="O51" s="134">
        <f>SUM(H51+J51)</f>
        <v>2106</v>
      </c>
      <c r="P51" s="134">
        <f>SUM(K51+M51)</f>
        <v>450</v>
      </c>
    </row>
    <row r="52" spans="3:18" x14ac:dyDescent="0.45">
      <c r="C52" s="104" t="s">
        <v>245</v>
      </c>
      <c r="D52" s="104" t="s">
        <v>149</v>
      </c>
      <c r="E52" s="104">
        <v>17</v>
      </c>
      <c r="F52" s="105">
        <v>90</v>
      </c>
      <c r="G52" s="106">
        <f t="shared" ref="G52:G53" si="5">F52*E52</f>
        <v>1530</v>
      </c>
      <c r="H52" s="129"/>
      <c r="I52" s="144"/>
      <c r="J52" s="129"/>
      <c r="K52" s="129"/>
      <c r="L52" s="146"/>
      <c r="M52" s="129"/>
      <c r="N52" s="58"/>
      <c r="O52" s="135"/>
      <c r="P52" s="135"/>
    </row>
    <row r="53" spans="3:18" x14ac:dyDescent="0.45">
      <c r="C53" s="64" t="s">
        <v>230</v>
      </c>
      <c r="D53" s="64" t="s">
        <v>149</v>
      </c>
      <c r="E53" s="64">
        <v>4</v>
      </c>
      <c r="F53" s="65">
        <v>90</v>
      </c>
      <c r="G53" s="66">
        <f t="shared" si="5"/>
        <v>360</v>
      </c>
      <c r="H53" s="129"/>
      <c r="I53" s="144"/>
      <c r="J53" s="129"/>
      <c r="K53" s="129"/>
      <c r="L53" s="146"/>
      <c r="M53" s="129"/>
      <c r="N53" s="58"/>
      <c r="O53" s="135"/>
      <c r="P53" s="135"/>
    </row>
    <row r="54" spans="3:18" x14ac:dyDescent="0.45">
      <c r="C54" s="43" t="s">
        <v>246</v>
      </c>
      <c r="D54" s="44" t="s">
        <v>165</v>
      </c>
      <c r="E54" s="51"/>
      <c r="F54" s="51"/>
      <c r="G54" s="21"/>
      <c r="H54" s="128">
        <f>SUM(G55:G57)</f>
        <v>28292</v>
      </c>
      <c r="I54" s="130">
        <v>5</v>
      </c>
      <c r="J54" s="128">
        <f>I54*$D$7</f>
        <v>225</v>
      </c>
      <c r="K54" s="128">
        <f>SUM(G58:G61)</f>
        <v>9820</v>
      </c>
      <c r="L54" s="132">
        <v>2</v>
      </c>
      <c r="M54" s="128">
        <f>L54*D7</f>
        <v>90</v>
      </c>
      <c r="N54" s="57"/>
      <c r="O54" s="134">
        <f>SUM(H54+J54)</f>
        <v>28517</v>
      </c>
      <c r="P54" s="134">
        <f>SUM(K54+M54)</f>
        <v>9910</v>
      </c>
    </row>
    <row r="55" spans="3:18" x14ac:dyDescent="0.45">
      <c r="C55" s="104" t="s">
        <v>247</v>
      </c>
      <c r="D55" s="104" t="s">
        <v>248</v>
      </c>
      <c r="E55" s="104">
        <v>5</v>
      </c>
      <c r="F55" s="105">
        <v>899</v>
      </c>
      <c r="G55" s="106">
        <f t="shared" ref="G55:G57" si="6">F55*E55</f>
        <v>4495</v>
      </c>
      <c r="H55" s="129"/>
      <c r="I55" s="131"/>
      <c r="J55" s="129"/>
      <c r="K55" s="129"/>
      <c r="L55" s="133"/>
      <c r="M55" s="129"/>
      <c r="N55" s="58"/>
      <c r="O55" s="135"/>
      <c r="P55" s="135"/>
    </row>
    <row r="56" spans="3:18" x14ac:dyDescent="0.45">
      <c r="C56" s="104" t="s">
        <v>249</v>
      </c>
      <c r="D56" s="104" t="s">
        <v>248</v>
      </c>
      <c r="E56" s="104">
        <v>8</v>
      </c>
      <c r="F56" s="105">
        <v>2150</v>
      </c>
      <c r="G56" s="106">
        <f t="shared" si="6"/>
        <v>17200</v>
      </c>
      <c r="H56" s="129"/>
      <c r="I56" s="131"/>
      <c r="J56" s="129"/>
      <c r="K56" s="129"/>
      <c r="L56" s="133"/>
      <c r="M56" s="129"/>
      <c r="N56" s="58"/>
      <c r="O56" s="135"/>
      <c r="P56" s="135"/>
    </row>
    <row r="57" spans="3:18" x14ac:dyDescent="0.45">
      <c r="C57" s="104" t="s">
        <v>166</v>
      </c>
      <c r="D57" s="104" t="s">
        <v>248</v>
      </c>
      <c r="E57" s="104">
        <v>3</v>
      </c>
      <c r="F57" s="105">
        <v>2199</v>
      </c>
      <c r="G57" s="106">
        <f t="shared" si="6"/>
        <v>6597</v>
      </c>
      <c r="H57" s="129"/>
      <c r="I57" s="131"/>
      <c r="J57" s="129"/>
      <c r="K57" s="129"/>
      <c r="L57" s="133"/>
      <c r="M57" s="129"/>
      <c r="N57" s="58"/>
      <c r="O57" s="135"/>
      <c r="P57" s="135"/>
    </row>
    <row r="58" spans="3:18" x14ac:dyDescent="0.45">
      <c r="C58" s="64" t="s">
        <v>164</v>
      </c>
      <c r="D58" s="64" t="s">
        <v>166</v>
      </c>
      <c r="E58" s="64">
        <v>1</v>
      </c>
      <c r="F58" s="65">
        <v>1990</v>
      </c>
      <c r="G58" s="66">
        <f t="shared" ref="G58:G59" si="7">F58*E58</f>
        <v>1990</v>
      </c>
      <c r="H58" s="129"/>
      <c r="I58" s="131"/>
      <c r="J58" s="129"/>
      <c r="K58" s="129"/>
      <c r="L58" s="133"/>
      <c r="M58" s="129"/>
      <c r="N58" s="58"/>
      <c r="O58" s="135"/>
      <c r="P58" s="135"/>
    </row>
    <row r="59" spans="3:18" x14ac:dyDescent="0.45">
      <c r="C59" s="64" t="s">
        <v>164</v>
      </c>
      <c r="D59" s="64" t="s">
        <v>167</v>
      </c>
      <c r="E59" s="64">
        <v>4</v>
      </c>
      <c r="F59" s="65">
        <v>725</v>
      </c>
      <c r="G59" s="66">
        <f t="shared" si="7"/>
        <v>2900</v>
      </c>
      <c r="H59" s="129"/>
      <c r="I59" s="131"/>
      <c r="J59" s="129"/>
      <c r="K59" s="129"/>
      <c r="L59" s="133"/>
      <c r="M59" s="129"/>
      <c r="N59" s="58"/>
      <c r="O59" s="135"/>
      <c r="P59" s="135"/>
    </row>
    <row r="60" spans="3:18" x14ac:dyDescent="0.45">
      <c r="C60" s="64" t="s">
        <v>164</v>
      </c>
      <c r="D60" s="64" t="s">
        <v>168</v>
      </c>
      <c r="E60" s="64">
        <v>2</v>
      </c>
      <c r="F60" s="65">
        <v>990</v>
      </c>
      <c r="G60" s="66">
        <f>F60*E60</f>
        <v>1980</v>
      </c>
      <c r="H60" s="129"/>
      <c r="I60" s="131"/>
      <c r="J60" s="129"/>
      <c r="K60" s="129"/>
      <c r="L60" s="133"/>
      <c r="M60" s="129"/>
      <c r="N60" s="58"/>
      <c r="O60" s="135"/>
      <c r="P60" s="135"/>
    </row>
    <row r="61" spans="3:18" x14ac:dyDescent="0.45">
      <c r="C61" s="64" t="s">
        <v>250</v>
      </c>
      <c r="D61" s="64" t="s">
        <v>251</v>
      </c>
      <c r="E61" s="64">
        <v>1</v>
      </c>
      <c r="F61" s="65">
        <v>2950</v>
      </c>
      <c r="G61" s="66">
        <f>F61*E61</f>
        <v>2950</v>
      </c>
      <c r="H61" s="129"/>
      <c r="I61" s="131"/>
      <c r="J61" s="129"/>
      <c r="K61" s="129"/>
      <c r="L61" s="133"/>
      <c r="M61" s="129"/>
      <c r="N61" s="58"/>
      <c r="O61" s="135"/>
      <c r="P61" s="135"/>
    </row>
    <row r="62" spans="3:18" x14ac:dyDescent="0.45">
      <c r="C62" s="142" t="s">
        <v>133</v>
      </c>
      <c r="D62" s="142"/>
      <c r="E62" s="142"/>
      <c r="F62" s="142"/>
      <c r="G62" s="142"/>
      <c r="H62" s="67">
        <f t="shared" ref="H62:P62" si="8">SUM(H41:H61)</f>
        <v>30972</v>
      </c>
      <c r="I62" s="68">
        <f t="shared" si="8"/>
        <v>29.5</v>
      </c>
      <c r="J62" s="67">
        <f t="shared" si="8"/>
        <v>1953</v>
      </c>
      <c r="K62" s="67">
        <f t="shared" si="8"/>
        <v>11330</v>
      </c>
      <c r="L62" s="68">
        <f t="shared" si="8"/>
        <v>20.5</v>
      </c>
      <c r="M62" s="67">
        <f t="shared" si="8"/>
        <v>1332</v>
      </c>
      <c r="N62" s="67">
        <f t="shared" si="8"/>
        <v>0</v>
      </c>
      <c r="O62" s="67">
        <f t="shared" si="8"/>
        <v>32925</v>
      </c>
      <c r="P62" s="67">
        <f t="shared" si="8"/>
        <v>12662</v>
      </c>
    </row>
    <row r="63" spans="3:18" ht="14.65" thickBot="1" x14ac:dyDescent="0.5"/>
    <row r="64" spans="3:18" x14ac:dyDescent="0.45">
      <c r="C64" s="136" t="s">
        <v>252</v>
      </c>
      <c r="D64" s="136"/>
      <c r="E64" s="136"/>
      <c r="F64" s="136"/>
      <c r="G64" s="137"/>
      <c r="H64" s="107" t="s">
        <v>121</v>
      </c>
      <c r="I64" s="107" t="s">
        <v>122</v>
      </c>
      <c r="J64" s="107" t="s">
        <v>123</v>
      </c>
      <c r="K64" s="48" t="s">
        <v>124</v>
      </c>
      <c r="L64" s="48" t="s">
        <v>125</v>
      </c>
      <c r="M64" s="48" t="s">
        <v>126</v>
      </c>
      <c r="N64" s="48"/>
      <c r="O64" s="107" t="s">
        <v>127</v>
      </c>
      <c r="P64" s="49" t="s">
        <v>128</v>
      </c>
      <c r="R64" s="90"/>
    </row>
    <row r="65" spans="3:20" x14ac:dyDescent="0.45">
      <c r="C65" s="23" t="s">
        <v>170</v>
      </c>
      <c r="D65" s="21" t="s">
        <v>232</v>
      </c>
      <c r="E65" s="51"/>
      <c r="F65" s="51"/>
      <c r="G65" s="21"/>
      <c r="H65" s="140">
        <f>SUM(G66:G67)</f>
        <v>0</v>
      </c>
      <c r="I65" s="130">
        <f>(E66/H9)</f>
        <v>0</v>
      </c>
      <c r="J65" s="140">
        <f>I65*$D$10</f>
        <v>0</v>
      </c>
      <c r="K65" s="140">
        <f>H65</f>
        <v>0</v>
      </c>
      <c r="L65" s="130">
        <v>0</v>
      </c>
      <c r="M65" s="140">
        <f>J65</f>
        <v>0</v>
      </c>
      <c r="N65" s="55"/>
      <c r="O65" s="138">
        <f>SUM(H65+J65)</f>
        <v>0</v>
      </c>
      <c r="P65" s="138">
        <f>SUM(K65+M65)</f>
        <v>0</v>
      </c>
    </row>
    <row r="66" spans="3:20" x14ac:dyDescent="0.45">
      <c r="C66" s="112" t="s">
        <v>233</v>
      </c>
      <c r="D66" s="112" t="s">
        <v>234</v>
      </c>
      <c r="E66" s="112">
        <v>0</v>
      </c>
      <c r="F66" s="113">
        <v>0</v>
      </c>
      <c r="G66" s="114">
        <f>F66*E66</f>
        <v>0</v>
      </c>
      <c r="H66" s="141"/>
      <c r="I66" s="131"/>
      <c r="J66" s="141"/>
      <c r="K66" s="141"/>
      <c r="L66" s="131"/>
      <c r="M66" s="141"/>
      <c r="N66" s="56"/>
      <c r="O66" s="139"/>
      <c r="P66" s="139"/>
      <c r="T66" s="89"/>
    </row>
    <row r="67" spans="3:20" x14ac:dyDescent="0.45">
      <c r="C67" s="112" t="s">
        <v>235</v>
      </c>
      <c r="D67" s="112" t="s">
        <v>149</v>
      </c>
      <c r="E67" s="112">
        <v>0</v>
      </c>
      <c r="F67" s="113">
        <v>0</v>
      </c>
      <c r="G67" s="114">
        <f>F67*E67</f>
        <v>0</v>
      </c>
      <c r="H67" s="155"/>
      <c r="I67" s="131"/>
      <c r="J67" s="155"/>
      <c r="K67" s="155"/>
      <c r="L67" s="148"/>
      <c r="M67" s="155"/>
      <c r="N67" s="56"/>
      <c r="O67" s="154"/>
      <c r="P67" s="154"/>
    </row>
    <row r="68" spans="3:20" x14ac:dyDescent="0.45">
      <c r="C68" s="50" t="s">
        <v>181</v>
      </c>
      <c r="D68" s="51" t="s">
        <v>178</v>
      </c>
      <c r="E68" s="51"/>
      <c r="F68" s="51"/>
      <c r="G68" s="21"/>
      <c r="H68" s="128">
        <v>0</v>
      </c>
      <c r="I68" s="130">
        <v>0</v>
      </c>
      <c r="J68" s="128">
        <v>0</v>
      </c>
      <c r="K68" s="128">
        <f>SUM(G69:G69)</f>
        <v>663.75</v>
      </c>
      <c r="L68" s="145">
        <v>1</v>
      </c>
      <c r="M68" s="128">
        <f>L68*D7</f>
        <v>45</v>
      </c>
      <c r="N68" s="57"/>
      <c r="O68" s="134">
        <f>SUM(H68+J68)</f>
        <v>0</v>
      </c>
      <c r="P68" s="134">
        <f>SUM(K68+M68)</f>
        <v>708.75</v>
      </c>
    </row>
    <row r="69" spans="3:20" x14ac:dyDescent="0.45">
      <c r="C69" s="64" t="s">
        <v>182</v>
      </c>
      <c r="D69" s="64" t="s">
        <v>159</v>
      </c>
      <c r="E69" s="64">
        <v>295</v>
      </c>
      <c r="F69" s="65">
        <v>2.25</v>
      </c>
      <c r="G69" s="66">
        <f t="shared" ref="G69" si="9">F69*E69</f>
        <v>663.75</v>
      </c>
      <c r="H69" s="129"/>
      <c r="I69" s="131"/>
      <c r="J69" s="129"/>
      <c r="K69" s="129"/>
      <c r="L69" s="146"/>
      <c r="M69" s="129"/>
      <c r="N69" s="58"/>
      <c r="O69" s="135"/>
      <c r="P69" s="135"/>
    </row>
    <row r="70" spans="3:20" x14ac:dyDescent="0.45">
      <c r="C70" s="50" t="s">
        <v>183</v>
      </c>
      <c r="D70" s="51" t="s">
        <v>178</v>
      </c>
      <c r="E70" s="51"/>
      <c r="F70" s="51"/>
      <c r="G70" s="21"/>
      <c r="H70" s="128">
        <f>SUM(G71:G72)</f>
        <v>2578.3000000000002</v>
      </c>
      <c r="I70" s="143">
        <f>SUM(E71/$H$7)</f>
        <v>2.6818181818181817</v>
      </c>
      <c r="J70" s="128">
        <f>$D$7*I70</f>
        <v>120.68181818181817</v>
      </c>
      <c r="K70" s="128">
        <f>SUM(G73:G74)</f>
        <v>223.25</v>
      </c>
      <c r="L70" s="145">
        <v>6</v>
      </c>
      <c r="M70" s="128">
        <f>L70*$D$7</f>
        <v>270</v>
      </c>
      <c r="N70" s="57"/>
      <c r="O70" s="134">
        <f>SUM(H70+J70)</f>
        <v>2698.9818181818182</v>
      </c>
      <c r="P70" s="134">
        <f>SUM(K70+M70)</f>
        <v>493.25</v>
      </c>
    </row>
    <row r="71" spans="3:20" x14ac:dyDescent="0.45">
      <c r="C71" s="104" t="s">
        <v>253</v>
      </c>
      <c r="D71" s="115" t="s">
        <v>254</v>
      </c>
      <c r="E71" s="104">
        <v>295</v>
      </c>
      <c r="F71" s="105">
        <v>5.75</v>
      </c>
      <c r="G71" s="106">
        <f t="shared" ref="G71:G74" si="10">F71*E71</f>
        <v>1696.25</v>
      </c>
      <c r="H71" s="129"/>
      <c r="I71" s="144"/>
      <c r="J71" s="129"/>
      <c r="K71" s="129"/>
      <c r="L71" s="146"/>
      <c r="M71" s="129"/>
      <c r="N71" s="58"/>
      <c r="O71" s="135"/>
      <c r="P71" s="135"/>
    </row>
    <row r="72" spans="3:20" x14ac:dyDescent="0.45">
      <c r="C72" s="104" t="s">
        <v>253</v>
      </c>
      <c r="D72" s="104" t="s">
        <v>255</v>
      </c>
      <c r="E72" s="104">
        <v>295</v>
      </c>
      <c r="F72" s="105">
        <v>2.99</v>
      </c>
      <c r="G72" s="106">
        <f t="shared" ref="G72" si="11">F72*E72</f>
        <v>882.05000000000007</v>
      </c>
      <c r="H72" s="129"/>
      <c r="I72" s="144"/>
      <c r="J72" s="129"/>
      <c r="K72" s="129"/>
      <c r="L72" s="146"/>
      <c r="M72" s="129"/>
      <c r="N72" s="58"/>
      <c r="O72" s="135"/>
      <c r="P72" s="135"/>
    </row>
    <row r="73" spans="3:20" x14ac:dyDescent="0.45">
      <c r="C73" s="64" t="s">
        <v>188</v>
      </c>
      <c r="D73" s="64" t="s">
        <v>185</v>
      </c>
      <c r="E73" s="64">
        <v>295</v>
      </c>
      <c r="F73" s="65">
        <v>0.35</v>
      </c>
      <c r="G73" s="66">
        <f t="shared" si="10"/>
        <v>103.25</v>
      </c>
      <c r="H73" s="129"/>
      <c r="I73" s="144"/>
      <c r="J73" s="129"/>
      <c r="K73" s="129"/>
      <c r="L73" s="146"/>
      <c r="M73" s="129"/>
      <c r="N73" s="58"/>
      <c r="O73" s="135"/>
      <c r="P73" s="135"/>
    </row>
    <row r="74" spans="3:20" x14ac:dyDescent="0.45">
      <c r="C74" s="64" t="s">
        <v>186</v>
      </c>
      <c r="D74" s="64" t="s">
        <v>187</v>
      </c>
      <c r="E74" s="64">
        <v>24</v>
      </c>
      <c r="F74" s="65">
        <v>5</v>
      </c>
      <c r="G74" s="66">
        <f t="shared" si="10"/>
        <v>120</v>
      </c>
      <c r="H74" s="129"/>
      <c r="I74" s="144"/>
      <c r="J74" s="129"/>
      <c r="K74" s="129"/>
      <c r="L74" s="146"/>
      <c r="M74" s="129"/>
      <c r="N74" s="58"/>
      <c r="O74" s="135"/>
      <c r="P74" s="135"/>
    </row>
    <row r="75" spans="3:20" x14ac:dyDescent="0.45">
      <c r="C75" s="50" t="s">
        <v>226</v>
      </c>
      <c r="D75" s="51" t="s">
        <v>256</v>
      </c>
      <c r="E75" s="51"/>
      <c r="F75" s="51"/>
      <c r="G75" s="21"/>
      <c r="H75" s="128">
        <f>SUM(G77:G77)</f>
        <v>270</v>
      </c>
      <c r="I75" s="130">
        <v>4</v>
      </c>
      <c r="J75" s="128">
        <f>$D$7*I75</f>
        <v>180</v>
      </c>
      <c r="K75" s="128">
        <f>SUM(G77)</f>
        <v>270</v>
      </c>
      <c r="L75" s="132">
        <v>3</v>
      </c>
      <c r="M75" s="128">
        <f>$D$7*L75</f>
        <v>135</v>
      </c>
      <c r="N75" s="57"/>
      <c r="O75" s="134">
        <f>SUM(H75+J75)</f>
        <v>450</v>
      </c>
      <c r="P75" s="134">
        <f>SUM(K75+M75)</f>
        <v>405</v>
      </c>
    </row>
    <row r="76" spans="3:20" x14ac:dyDescent="0.45">
      <c r="C76" s="104" t="s">
        <v>245</v>
      </c>
      <c r="D76" s="104" t="s">
        <v>149</v>
      </c>
      <c r="E76" s="104">
        <v>5</v>
      </c>
      <c r="F76" s="105">
        <v>90</v>
      </c>
      <c r="G76" s="106">
        <f t="shared" ref="G76:G77" si="12">F76*E76</f>
        <v>450</v>
      </c>
      <c r="H76" s="129"/>
      <c r="I76" s="131"/>
      <c r="J76" s="129"/>
      <c r="K76" s="129"/>
      <c r="L76" s="133"/>
      <c r="M76" s="129"/>
      <c r="N76" s="58"/>
      <c r="O76" s="135"/>
      <c r="P76" s="135"/>
    </row>
    <row r="77" spans="3:20" x14ac:dyDescent="0.45">
      <c r="C77" s="64" t="s">
        <v>245</v>
      </c>
      <c r="D77" s="64" t="s">
        <v>149</v>
      </c>
      <c r="E77" s="64">
        <v>3</v>
      </c>
      <c r="F77" s="65">
        <v>90</v>
      </c>
      <c r="G77" s="66">
        <f t="shared" si="12"/>
        <v>270</v>
      </c>
      <c r="H77" s="147"/>
      <c r="I77" s="148"/>
      <c r="J77" s="147"/>
      <c r="K77" s="147"/>
      <c r="L77" s="149"/>
      <c r="M77" s="147"/>
      <c r="N77" s="58"/>
      <c r="O77" s="150"/>
      <c r="P77" s="150"/>
    </row>
    <row r="78" spans="3:20" x14ac:dyDescent="0.45">
      <c r="C78" s="50" t="s">
        <v>257</v>
      </c>
      <c r="D78" s="51" t="s">
        <v>178</v>
      </c>
      <c r="E78" s="51"/>
      <c r="F78" s="51"/>
      <c r="G78" s="21"/>
      <c r="H78" s="128">
        <f>SUM(G79:G80)</f>
        <v>2197</v>
      </c>
      <c r="I78" s="130">
        <v>2</v>
      </c>
      <c r="J78" s="128">
        <f>I78*$D$7</f>
        <v>90</v>
      </c>
      <c r="K78" s="128">
        <f>SUM(G81:G82)</f>
        <v>2025</v>
      </c>
      <c r="L78" s="132">
        <v>3</v>
      </c>
      <c r="M78" s="128">
        <f>D7*L78</f>
        <v>135</v>
      </c>
      <c r="N78" s="57"/>
      <c r="O78" s="134">
        <f>SUM(H78+J78)</f>
        <v>2287</v>
      </c>
      <c r="P78" s="134">
        <f>SUM(K78+M78)</f>
        <v>2160</v>
      </c>
    </row>
    <row r="79" spans="3:20" x14ac:dyDescent="0.45">
      <c r="C79" s="104" t="s">
        <v>258</v>
      </c>
      <c r="D79" s="104" t="s">
        <v>248</v>
      </c>
      <c r="E79" s="104">
        <v>2</v>
      </c>
      <c r="F79" s="105">
        <v>899</v>
      </c>
      <c r="G79" s="106">
        <f t="shared" ref="G79:G81" si="13">F79*E79</f>
        <v>1798</v>
      </c>
      <c r="H79" s="129"/>
      <c r="I79" s="131"/>
      <c r="J79" s="129"/>
      <c r="K79" s="129"/>
      <c r="L79" s="133"/>
      <c r="M79" s="129"/>
      <c r="N79" s="58"/>
      <c r="O79" s="135"/>
      <c r="P79" s="135"/>
    </row>
    <row r="80" spans="3:20" x14ac:dyDescent="0.45">
      <c r="C80" s="104" t="s">
        <v>259</v>
      </c>
      <c r="D80" s="104" t="s">
        <v>248</v>
      </c>
      <c r="E80" s="104">
        <v>1</v>
      </c>
      <c r="F80" s="105">
        <v>399</v>
      </c>
      <c r="G80" s="106">
        <f t="shared" si="13"/>
        <v>399</v>
      </c>
      <c r="H80" s="129"/>
      <c r="I80" s="131"/>
      <c r="J80" s="129"/>
      <c r="K80" s="129"/>
      <c r="L80" s="133"/>
      <c r="M80" s="129"/>
      <c r="N80" s="58"/>
      <c r="O80" s="135"/>
      <c r="P80" s="135"/>
    </row>
    <row r="81" spans="3:16" x14ac:dyDescent="0.45">
      <c r="C81" s="64" t="s">
        <v>192</v>
      </c>
      <c r="D81" s="64" t="s">
        <v>193</v>
      </c>
      <c r="E81" s="64">
        <v>1</v>
      </c>
      <c r="F81" s="65">
        <v>1650</v>
      </c>
      <c r="G81" s="66">
        <f t="shared" si="13"/>
        <v>1650</v>
      </c>
      <c r="H81" s="129"/>
      <c r="I81" s="131"/>
      <c r="J81" s="129"/>
      <c r="K81" s="129"/>
      <c r="L81" s="133"/>
      <c r="M81" s="129"/>
      <c r="N81" s="58"/>
      <c r="O81" s="135"/>
      <c r="P81" s="135"/>
    </row>
    <row r="82" spans="3:16" x14ac:dyDescent="0.45">
      <c r="C82" s="64" t="s">
        <v>250</v>
      </c>
      <c r="D82" s="64" t="s">
        <v>260</v>
      </c>
      <c r="E82" s="64">
        <v>1</v>
      </c>
      <c r="F82" s="65">
        <v>375</v>
      </c>
      <c r="G82" s="66">
        <f t="shared" ref="G82" si="14">F82*E82</f>
        <v>375</v>
      </c>
      <c r="H82" s="147"/>
      <c r="I82" s="148"/>
      <c r="J82" s="147"/>
      <c r="K82" s="147"/>
      <c r="L82" s="149"/>
      <c r="M82" s="147"/>
      <c r="N82" s="59"/>
      <c r="O82" s="150"/>
      <c r="P82" s="150"/>
    </row>
    <row r="83" spans="3:16" x14ac:dyDescent="0.45">
      <c r="C83" s="142" t="s">
        <v>133</v>
      </c>
      <c r="D83" s="142"/>
      <c r="E83" s="142"/>
      <c r="F83" s="142"/>
      <c r="G83" s="142"/>
      <c r="H83" s="67">
        <f t="shared" ref="H83:P83" si="15">SUM(H65:H82)</f>
        <v>5045.3</v>
      </c>
      <c r="I83" s="68">
        <f t="shared" si="15"/>
        <v>8.6818181818181817</v>
      </c>
      <c r="J83" s="67">
        <f t="shared" si="15"/>
        <v>390.68181818181819</v>
      </c>
      <c r="K83" s="67">
        <f t="shared" si="15"/>
        <v>3182</v>
      </c>
      <c r="L83" s="68">
        <f t="shared" si="15"/>
        <v>13</v>
      </c>
      <c r="M83" s="67">
        <f t="shared" si="15"/>
        <v>585</v>
      </c>
      <c r="N83" s="67">
        <f t="shared" si="15"/>
        <v>0</v>
      </c>
      <c r="O83" s="67">
        <f t="shared" si="15"/>
        <v>5435.9818181818182</v>
      </c>
      <c r="P83" s="67">
        <f t="shared" si="15"/>
        <v>3767</v>
      </c>
    </row>
    <row r="84" spans="3:16" ht="14.65" thickBot="1" x14ac:dyDescent="0.5"/>
    <row r="85" spans="3:16" x14ac:dyDescent="0.45">
      <c r="C85" s="136" t="s">
        <v>261</v>
      </c>
      <c r="D85" s="136"/>
      <c r="E85" s="136"/>
      <c r="F85" s="136"/>
      <c r="G85" s="137"/>
      <c r="H85" s="107" t="s">
        <v>121</v>
      </c>
      <c r="I85" s="107" t="s">
        <v>122</v>
      </c>
      <c r="J85" s="107" t="s">
        <v>123</v>
      </c>
      <c r="K85" s="48" t="s">
        <v>124</v>
      </c>
      <c r="L85" s="48" t="s">
        <v>125</v>
      </c>
      <c r="M85" s="48" t="s">
        <v>126</v>
      </c>
      <c r="N85" s="48"/>
      <c r="O85" s="107" t="s">
        <v>127</v>
      </c>
      <c r="P85" s="49" t="s">
        <v>128</v>
      </c>
    </row>
    <row r="86" spans="3:16" x14ac:dyDescent="0.45">
      <c r="C86" s="23" t="s">
        <v>170</v>
      </c>
      <c r="D86" s="21" t="s">
        <v>232</v>
      </c>
      <c r="E86" s="51"/>
      <c r="F86" s="51"/>
      <c r="G86" s="21"/>
      <c r="H86" s="140">
        <f>SUM(G87:G89)</f>
        <v>412.5</v>
      </c>
      <c r="I86" s="158">
        <v>15</v>
      </c>
      <c r="J86" s="140">
        <f>I86*$D$10</f>
        <v>1380</v>
      </c>
      <c r="K86" s="140">
        <f>H86</f>
        <v>412.5</v>
      </c>
      <c r="L86" s="130">
        <v>15</v>
      </c>
      <c r="M86" s="140">
        <f>J86</f>
        <v>1380</v>
      </c>
      <c r="N86" s="55"/>
      <c r="O86" s="138">
        <f>SUM(H86+J86)</f>
        <v>1792.5</v>
      </c>
      <c r="P86" s="138">
        <f>SUM(K86+M86)</f>
        <v>1792.5</v>
      </c>
    </row>
    <row r="87" spans="3:16" x14ac:dyDescent="0.45">
      <c r="C87" s="52" t="s">
        <v>172</v>
      </c>
      <c r="D87" s="52" t="s">
        <v>159</v>
      </c>
      <c r="E87" s="52">
        <v>75</v>
      </c>
      <c r="F87" s="53">
        <v>5.5</v>
      </c>
      <c r="G87" s="54">
        <f>F87*E87</f>
        <v>412.5</v>
      </c>
      <c r="H87" s="141"/>
      <c r="I87" s="159"/>
      <c r="J87" s="141"/>
      <c r="K87" s="141"/>
      <c r="L87" s="131"/>
      <c r="M87" s="141"/>
      <c r="N87" s="56"/>
      <c r="O87" s="139"/>
      <c r="P87" s="139"/>
    </row>
    <row r="88" spans="3:16" x14ac:dyDescent="0.45">
      <c r="C88" s="112" t="s">
        <v>233</v>
      </c>
      <c r="D88" s="112" t="s">
        <v>234</v>
      </c>
      <c r="E88" s="112">
        <v>0</v>
      </c>
      <c r="F88" s="113">
        <v>0</v>
      </c>
      <c r="G88" s="114">
        <f>F88*E88</f>
        <v>0</v>
      </c>
      <c r="H88" s="141"/>
      <c r="I88" s="159"/>
      <c r="J88" s="141"/>
      <c r="K88" s="141"/>
      <c r="L88" s="131"/>
      <c r="M88" s="141"/>
      <c r="N88" s="56"/>
      <c r="O88" s="139"/>
      <c r="P88" s="139"/>
    </row>
    <row r="89" spans="3:16" x14ac:dyDescent="0.45">
      <c r="C89" s="112" t="s">
        <v>235</v>
      </c>
      <c r="D89" s="112" t="s">
        <v>149</v>
      </c>
      <c r="E89" s="112">
        <v>0</v>
      </c>
      <c r="F89" s="113">
        <v>0</v>
      </c>
      <c r="G89" s="114">
        <f>F89*E89</f>
        <v>0</v>
      </c>
      <c r="H89" s="155"/>
      <c r="I89" s="159"/>
      <c r="J89" s="155"/>
      <c r="K89" s="155"/>
      <c r="L89" s="148"/>
      <c r="M89" s="155"/>
      <c r="N89" s="56"/>
      <c r="O89" s="154"/>
      <c r="P89" s="154"/>
    </row>
    <row r="90" spans="3:16" x14ac:dyDescent="0.45">
      <c r="C90" s="50" t="s">
        <v>181</v>
      </c>
      <c r="D90" s="51" t="s">
        <v>178</v>
      </c>
      <c r="E90" s="51"/>
      <c r="F90" s="51"/>
      <c r="G90" s="21"/>
      <c r="H90" s="128">
        <v>0</v>
      </c>
      <c r="I90" s="130">
        <v>0</v>
      </c>
      <c r="J90" s="128">
        <v>0</v>
      </c>
      <c r="K90" s="128">
        <f>SUM(G91:G91)</f>
        <v>1687.5</v>
      </c>
      <c r="L90" s="145">
        <v>1.1000000000000001</v>
      </c>
      <c r="M90" s="128">
        <f>L90*D28</f>
        <v>0</v>
      </c>
      <c r="N90" s="57"/>
      <c r="O90" s="134">
        <f>SUM(H90+J90)</f>
        <v>0</v>
      </c>
      <c r="P90" s="134">
        <f>SUM(K90+M90)</f>
        <v>1687.5</v>
      </c>
    </row>
    <row r="91" spans="3:16" x14ac:dyDescent="0.45">
      <c r="C91" s="64" t="s">
        <v>182</v>
      </c>
      <c r="D91" s="64" t="s">
        <v>159</v>
      </c>
      <c r="E91" s="64">
        <v>750</v>
      </c>
      <c r="F91" s="65">
        <v>2.25</v>
      </c>
      <c r="G91" s="66">
        <f t="shared" ref="G91" si="16">F91*E91</f>
        <v>1687.5</v>
      </c>
      <c r="H91" s="129"/>
      <c r="I91" s="131"/>
      <c r="J91" s="129"/>
      <c r="K91" s="129"/>
      <c r="L91" s="146"/>
      <c r="M91" s="129"/>
      <c r="N91" s="58"/>
      <c r="O91" s="135"/>
      <c r="P91" s="135"/>
    </row>
    <row r="92" spans="3:16" x14ac:dyDescent="0.45">
      <c r="C92" s="50" t="s">
        <v>183</v>
      </c>
      <c r="D92" s="51" t="s">
        <v>178</v>
      </c>
      <c r="E92" s="51"/>
      <c r="F92" s="51"/>
      <c r="G92" s="21"/>
      <c r="H92" s="128">
        <f>SUM(G93:G93)</f>
        <v>8625</v>
      </c>
      <c r="I92" s="143" cm="1">
        <f t="array" ref="I92">SUM(E93:E93/$H$7)</f>
        <v>13.636363636363637</v>
      </c>
      <c r="J92" s="128">
        <f>$D$7*I92</f>
        <v>613.63636363636363</v>
      </c>
      <c r="K92" s="128">
        <f>SUM(G94:G95)</f>
        <v>382.5</v>
      </c>
      <c r="L92" s="145">
        <v>12.5</v>
      </c>
      <c r="M92" s="128">
        <f>L92*$D$7</f>
        <v>562.5</v>
      </c>
      <c r="N92" s="57"/>
      <c r="O92" s="134">
        <f>SUM(H92+J92)</f>
        <v>9238.636363636364</v>
      </c>
      <c r="P92" s="134">
        <f>SUM(K92+M92)</f>
        <v>945</v>
      </c>
    </row>
    <row r="93" spans="3:16" x14ac:dyDescent="0.45">
      <c r="C93" s="104" t="s">
        <v>253</v>
      </c>
      <c r="D93" s="115" t="s">
        <v>254</v>
      </c>
      <c r="E93" s="104">
        <v>1500</v>
      </c>
      <c r="F93" s="105">
        <v>5.75</v>
      </c>
      <c r="G93" s="106">
        <f t="shared" ref="G93:G95" si="17">F93*E93</f>
        <v>8625</v>
      </c>
      <c r="H93" s="129"/>
      <c r="I93" s="144"/>
      <c r="J93" s="129"/>
      <c r="K93" s="129"/>
      <c r="L93" s="146"/>
      <c r="M93" s="129"/>
      <c r="N93" s="58"/>
      <c r="O93" s="135"/>
      <c r="P93" s="135"/>
    </row>
    <row r="94" spans="3:16" x14ac:dyDescent="0.45">
      <c r="C94" s="64" t="s">
        <v>188</v>
      </c>
      <c r="D94" s="64" t="s">
        <v>185</v>
      </c>
      <c r="E94" s="64">
        <v>750</v>
      </c>
      <c r="F94" s="65">
        <v>0.35</v>
      </c>
      <c r="G94" s="66">
        <f t="shared" si="17"/>
        <v>262.5</v>
      </c>
      <c r="H94" s="129"/>
      <c r="I94" s="144"/>
      <c r="J94" s="129"/>
      <c r="K94" s="129"/>
      <c r="L94" s="146"/>
      <c r="M94" s="129"/>
      <c r="N94" s="58"/>
      <c r="O94" s="135"/>
      <c r="P94" s="135"/>
    </row>
    <row r="95" spans="3:16" x14ac:dyDescent="0.45">
      <c r="C95" s="64" t="s">
        <v>186</v>
      </c>
      <c r="D95" s="64" t="s">
        <v>187</v>
      </c>
      <c r="E95" s="64">
        <v>24</v>
      </c>
      <c r="F95" s="65">
        <v>5</v>
      </c>
      <c r="G95" s="66">
        <f t="shared" si="17"/>
        <v>120</v>
      </c>
      <c r="H95" s="129"/>
      <c r="I95" s="144"/>
      <c r="J95" s="129"/>
      <c r="K95" s="129"/>
      <c r="L95" s="146"/>
      <c r="M95" s="129"/>
      <c r="N95" s="58"/>
      <c r="O95" s="135"/>
      <c r="P95" s="135"/>
    </row>
    <row r="96" spans="3:16" x14ac:dyDescent="0.45">
      <c r="C96" s="50" t="s">
        <v>226</v>
      </c>
      <c r="D96" s="51" t="s">
        <v>256</v>
      </c>
      <c r="E96" s="51"/>
      <c r="F96" s="51"/>
      <c r="G96" s="21"/>
      <c r="H96" s="128">
        <f>SUM(G98:G98)</f>
        <v>270</v>
      </c>
      <c r="I96" s="130">
        <v>4</v>
      </c>
      <c r="J96" s="128">
        <f>$D$7*I96</f>
        <v>180</v>
      </c>
      <c r="K96" s="128">
        <f>SUM(G98)</f>
        <v>270</v>
      </c>
      <c r="L96" s="132">
        <v>3</v>
      </c>
      <c r="M96" s="128">
        <f>$D$7*L96</f>
        <v>135</v>
      </c>
      <c r="N96" s="57"/>
      <c r="O96" s="134">
        <f>SUM(H96+J96)</f>
        <v>450</v>
      </c>
      <c r="P96" s="134">
        <f>SUM(K96+M96)</f>
        <v>405</v>
      </c>
    </row>
    <row r="97" spans="3:16" x14ac:dyDescent="0.45">
      <c r="C97" s="104" t="s">
        <v>245</v>
      </c>
      <c r="D97" s="104" t="s">
        <v>149</v>
      </c>
      <c r="E97" s="104">
        <v>4</v>
      </c>
      <c r="F97" s="105">
        <v>90</v>
      </c>
      <c r="G97" s="106">
        <f t="shared" ref="G97:G98" si="18">F97*E97</f>
        <v>360</v>
      </c>
      <c r="H97" s="129"/>
      <c r="I97" s="131"/>
      <c r="J97" s="129"/>
      <c r="K97" s="129"/>
      <c r="L97" s="133"/>
      <c r="M97" s="129"/>
      <c r="N97" s="58"/>
      <c r="O97" s="135"/>
      <c r="P97" s="135"/>
    </row>
    <row r="98" spans="3:16" x14ac:dyDescent="0.45">
      <c r="C98" s="64" t="s">
        <v>245</v>
      </c>
      <c r="D98" s="64" t="s">
        <v>149</v>
      </c>
      <c r="E98" s="64">
        <v>3</v>
      </c>
      <c r="F98" s="65">
        <v>90</v>
      </c>
      <c r="G98" s="66">
        <f t="shared" si="18"/>
        <v>270</v>
      </c>
      <c r="H98" s="147"/>
      <c r="I98" s="148"/>
      <c r="J98" s="147"/>
      <c r="K98" s="147"/>
      <c r="L98" s="149"/>
      <c r="M98" s="147"/>
      <c r="N98" s="58"/>
      <c r="O98" s="150"/>
      <c r="P98" s="150"/>
    </row>
    <row r="99" spans="3:16" x14ac:dyDescent="0.45">
      <c r="C99" s="50" t="s">
        <v>257</v>
      </c>
      <c r="D99" s="51" t="s">
        <v>178</v>
      </c>
      <c r="E99" s="51"/>
      <c r="F99" s="51"/>
      <c r="G99" s="21"/>
      <c r="H99" s="128">
        <f>SUM(G100:G100)</f>
        <v>1798</v>
      </c>
      <c r="I99" s="130">
        <v>3</v>
      </c>
      <c r="J99" s="128">
        <f>I99*$D$7</f>
        <v>135</v>
      </c>
      <c r="K99" s="128">
        <f>SUM(G101:G102)</f>
        <v>2025</v>
      </c>
      <c r="L99" s="132">
        <v>3</v>
      </c>
      <c r="M99" s="128">
        <f>D28*L99</f>
        <v>0</v>
      </c>
      <c r="N99" s="57"/>
      <c r="O99" s="134">
        <f>SUM(H99+J99)</f>
        <v>1933</v>
      </c>
      <c r="P99" s="134">
        <f>SUM(K99+M99)</f>
        <v>2025</v>
      </c>
    </row>
    <row r="100" spans="3:16" x14ac:dyDescent="0.45">
      <c r="C100" s="104" t="s">
        <v>258</v>
      </c>
      <c r="D100" s="104" t="s">
        <v>248</v>
      </c>
      <c r="E100" s="104">
        <v>2</v>
      </c>
      <c r="F100" s="105">
        <v>899</v>
      </c>
      <c r="G100" s="106">
        <f t="shared" ref="G100:G102" si="19">F100*E100</f>
        <v>1798</v>
      </c>
      <c r="H100" s="129"/>
      <c r="I100" s="131"/>
      <c r="J100" s="129"/>
      <c r="K100" s="129"/>
      <c r="L100" s="133"/>
      <c r="M100" s="129"/>
      <c r="N100" s="58"/>
      <c r="O100" s="135"/>
      <c r="P100" s="135"/>
    </row>
    <row r="101" spans="3:16" x14ac:dyDescent="0.45">
      <c r="C101" s="64" t="s">
        <v>192</v>
      </c>
      <c r="D101" s="64" t="s">
        <v>193</v>
      </c>
      <c r="E101" s="64">
        <v>1</v>
      </c>
      <c r="F101" s="65">
        <v>1650</v>
      </c>
      <c r="G101" s="66">
        <f t="shared" si="19"/>
        <v>1650</v>
      </c>
      <c r="H101" s="129"/>
      <c r="I101" s="131"/>
      <c r="J101" s="129"/>
      <c r="K101" s="129"/>
      <c r="L101" s="133"/>
      <c r="M101" s="129"/>
      <c r="N101" s="58"/>
      <c r="O101" s="135"/>
      <c r="P101" s="135"/>
    </row>
    <row r="102" spans="3:16" x14ac:dyDescent="0.45">
      <c r="C102" s="64" t="s">
        <v>250</v>
      </c>
      <c r="D102" s="64" t="s">
        <v>260</v>
      </c>
      <c r="E102" s="64">
        <v>1</v>
      </c>
      <c r="F102" s="65">
        <v>375</v>
      </c>
      <c r="G102" s="66">
        <f t="shared" si="19"/>
        <v>375</v>
      </c>
      <c r="H102" s="147"/>
      <c r="I102" s="148"/>
      <c r="J102" s="147"/>
      <c r="K102" s="147"/>
      <c r="L102" s="149"/>
      <c r="M102" s="147"/>
      <c r="N102" s="59"/>
      <c r="O102" s="150"/>
      <c r="P102" s="150"/>
    </row>
    <row r="103" spans="3:16" x14ac:dyDescent="0.45">
      <c r="C103" s="142" t="s">
        <v>133</v>
      </c>
      <c r="D103" s="142"/>
      <c r="E103" s="142"/>
      <c r="F103" s="142"/>
      <c r="G103" s="142"/>
      <c r="H103" s="67">
        <f t="shared" ref="H103:P103" si="20">SUM(H86:H102)</f>
        <v>11105.5</v>
      </c>
      <c r="I103" s="68">
        <f t="shared" si="20"/>
        <v>35.63636363636364</v>
      </c>
      <c r="J103" s="67">
        <f t="shared" si="20"/>
        <v>2308.6363636363635</v>
      </c>
      <c r="K103" s="67">
        <f t="shared" si="20"/>
        <v>4777.5</v>
      </c>
      <c r="L103" s="68">
        <f t="shared" si="20"/>
        <v>34.6</v>
      </c>
      <c r="M103" s="67">
        <f t="shared" si="20"/>
        <v>2077.5</v>
      </c>
      <c r="N103" s="67">
        <f t="shared" si="20"/>
        <v>0</v>
      </c>
      <c r="O103" s="67">
        <f t="shared" si="20"/>
        <v>13414.136363636364</v>
      </c>
      <c r="P103" s="67">
        <f t="shared" si="20"/>
        <v>6855</v>
      </c>
    </row>
    <row r="104" spans="3:16" ht="18" customHeight="1" thickBot="1" x14ac:dyDescent="0.5">
      <c r="C104" s="70"/>
      <c r="D104" s="70"/>
      <c r="E104" s="70"/>
      <c r="F104" s="70"/>
      <c r="G104" s="70"/>
      <c r="H104" s="71"/>
      <c r="I104" s="71"/>
      <c r="J104" s="71"/>
      <c r="K104" s="71"/>
      <c r="L104" s="71"/>
      <c r="M104" s="71"/>
      <c r="N104" s="71"/>
      <c r="O104" s="71"/>
      <c r="P104" s="71"/>
    </row>
    <row r="105" spans="3:16" x14ac:dyDescent="0.45">
      <c r="C105" s="136" t="s">
        <v>262</v>
      </c>
      <c r="D105" s="136"/>
      <c r="E105" s="136"/>
      <c r="F105" s="136"/>
      <c r="G105" s="137"/>
      <c r="H105" s="107" t="s">
        <v>121</v>
      </c>
      <c r="I105" s="107" t="s">
        <v>122</v>
      </c>
      <c r="J105" s="107" t="s">
        <v>123</v>
      </c>
      <c r="K105" s="48" t="s">
        <v>124</v>
      </c>
      <c r="L105" s="48" t="s">
        <v>125</v>
      </c>
      <c r="M105" s="48" t="s">
        <v>126</v>
      </c>
      <c r="N105" s="48"/>
      <c r="O105" s="107" t="s">
        <v>127</v>
      </c>
      <c r="P105" s="49" t="s">
        <v>128</v>
      </c>
    </row>
    <row r="106" spans="3:16" x14ac:dyDescent="0.45">
      <c r="C106" s="23" t="s">
        <v>170</v>
      </c>
      <c r="D106" s="21" t="s">
        <v>232</v>
      </c>
      <c r="E106" s="51"/>
      <c r="F106" s="51"/>
      <c r="G106" s="21"/>
      <c r="H106" s="140">
        <f>SUM(G107:G108)</f>
        <v>3500</v>
      </c>
      <c r="I106" s="158">
        <f>(E107/H9)</f>
        <v>4.666666666666667</v>
      </c>
      <c r="J106" s="140">
        <f>I106*$D$10</f>
        <v>429.33333333333337</v>
      </c>
      <c r="K106" s="140">
        <f>H106</f>
        <v>3500</v>
      </c>
      <c r="L106" s="130">
        <v>4.7</v>
      </c>
      <c r="M106" s="140">
        <f>J106</f>
        <v>429.33333333333337</v>
      </c>
      <c r="N106" s="55"/>
      <c r="O106" s="138">
        <f>SUM(H106+J106)</f>
        <v>3929.3333333333335</v>
      </c>
      <c r="P106" s="138">
        <f>SUM(K106+M106)</f>
        <v>3929.3333333333335</v>
      </c>
    </row>
    <row r="107" spans="3:16" x14ac:dyDescent="0.45">
      <c r="C107" s="112" t="s">
        <v>233</v>
      </c>
      <c r="D107" s="112" t="s">
        <v>234</v>
      </c>
      <c r="E107" s="112">
        <v>1400</v>
      </c>
      <c r="F107" s="113">
        <v>0.4</v>
      </c>
      <c r="G107" s="114">
        <f>F107*E107</f>
        <v>560</v>
      </c>
      <c r="H107" s="141"/>
      <c r="I107" s="159"/>
      <c r="J107" s="141"/>
      <c r="K107" s="141"/>
      <c r="L107" s="131"/>
      <c r="M107" s="141"/>
      <c r="N107" s="56"/>
      <c r="O107" s="139"/>
      <c r="P107" s="139"/>
    </row>
    <row r="108" spans="3:16" x14ac:dyDescent="0.45">
      <c r="C108" s="112" t="s">
        <v>235</v>
      </c>
      <c r="D108" s="112" t="s">
        <v>149</v>
      </c>
      <c r="E108" s="112">
        <v>1400</v>
      </c>
      <c r="F108" s="113">
        <v>2.1</v>
      </c>
      <c r="G108" s="114">
        <f>F108*E108</f>
        <v>2940</v>
      </c>
      <c r="H108" s="155"/>
      <c r="I108" s="159"/>
      <c r="J108" s="155"/>
      <c r="K108" s="155"/>
      <c r="L108" s="148"/>
      <c r="M108" s="155"/>
      <c r="N108" s="56"/>
      <c r="O108" s="154"/>
      <c r="P108" s="154"/>
    </row>
    <row r="109" spans="3:16" x14ac:dyDescent="0.45">
      <c r="C109" s="50" t="s">
        <v>181</v>
      </c>
      <c r="D109" s="51" t="s">
        <v>178</v>
      </c>
      <c r="E109" s="51"/>
      <c r="F109" s="51"/>
      <c r="G109" s="21"/>
      <c r="H109" s="128">
        <v>0</v>
      </c>
      <c r="I109" s="130">
        <v>0</v>
      </c>
      <c r="J109" s="128">
        <v>0</v>
      </c>
      <c r="K109" s="128">
        <f>SUM(G110:G110)</f>
        <v>3150</v>
      </c>
      <c r="L109" s="145">
        <v>3</v>
      </c>
      <c r="M109" s="128">
        <f>L109*$D$7</f>
        <v>135</v>
      </c>
      <c r="N109" s="57"/>
      <c r="O109" s="134">
        <f>SUM(H109+J109)</f>
        <v>0</v>
      </c>
      <c r="P109" s="134">
        <f>SUM(K109+M109)</f>
        <v>3285</v>
      </c>
    </row>
    <row r="110" spans="3:16" x14ac:dyDescent="0.45">
      <c r="C110" s="64" t="s">
        <v>182</v>
      </c>
      <c r="D110" s="64" t="s">
        <v>159</v>
      </c>
      <c r="E110" s="64">
        <v>1400</v>
      </c>
      <c r="F110" s="65">
        <v>2.25</v>
      </c>
      <c r="G110" s="66">
        <f t="shared" ref="G110" si="21">F110*E110</f>
        <v>3150</v>
      </c>
      <c r="H110" s="129"/>
      <c r="I110" s="131"/>
      <c r="J110" s="129"/>
      <c r="K110" s="129"/>
      <c r="L110" s="146"/>
      <c r="M110" s="129"/>
      <c r="N110" s="58"/>
      <c r="O110" s="135"/>
      <c r="P110" s="135"/>
    </row>
    <row r="111" spans="3:16" x14ac:dyDescent="0.45">
      <c r="C111" s="50" t="s">
        <v>183</v>
      </c>
      <c r="D111" s="51" t="s">
        <v>178</v>
      </c>
      <c r="E111" s="51"/>
      <c r="F111" s="51"/>
      <c r="G111" s="21"/>
      <c r="H111" s="128">
        <f>SUM(G112:G113)</f>
        <v>12236</v>
      </c>
      <c r="I111" s="158">
        <f>SUM(E112/$H$7)</f>
        <v>12.727272727272727</v>
      </c>
      <c r="J111" s="128">
        <f>$D$7*I111</f>
        <v>572.72727272727275</v>
      </c>
      <c r="K111" s="128">
        <f>SUM(G114:G115)</f>
        <v>610</v>
      </c>
      <c r="L111" s="145">
        <v>16</v>
      </c>
      <c r="M111" s="128">
        <f>L111*$D$7</f>
        <v>720</v>
      </c>
      <c r="N111" s="57"/>
      <c r="O111" s="134">
        <f>SUM(H111+J111)</f>
        <v>12808.727272727272</v>
      </c>
      <c r="P111" s="134">
        <f>SUM(K111+M111)</f>
        <v>1330</v>
      </c>
    </row>
    <row r="112" spans="3:16" x14ac:dyDescent="0.45">
      <c r="C112" s="104" t="s">
        <v>253</v>
      </c>
      <c r="D112" s="115" t="s">
        <v>254</v>
      </c>
      <c r="E112" s="104">
        <v>1400</v>
      </c>
      <c r="F112" s="105">
        <v>5.75</v>
      </c>
      <c r="G112" s="106">
        <f t="shared" ref="G112:G115" si="22">F112*E112</f>
        <v>8050</v>
      </c>
      <c r="H112" s="129"/>
      <c r="I112" s="159"/>
      <c r="J112" s="129"/>
      <c r="K112" s="129"/>
      <c r="L112" s="146"/>
      <c r="M112" s="129"/>
      <c r="N112" s="58"/>
      <c r="O112" s="135"/>
      <c r="P112" s="135"/>
    </row>
    <row r="113" spans="3:16" x14ac:dyDescent="0.45">
      <c r="C113" s="104" t="s">
        <v>253</v>
      </c>
      <c r="D113" s="104" t="s">
        <v>255</v>
      </c>
      <c r="E113" s="104">
        <v>1400</v>
      </c>
      <c r="F113" s="105">
        <v>2.99</v>
      </c>
      <c r="G113" s="106">
        <f t="shared" si="22"/>
        <v>4186</v>
      </c>
      <c r="H113" s="129"/>
      <c r="I113" s="159"/>
      <c r="J113" s="129"/>
      <c r="K113" s="129"/>
      <c r="L113" s="146"/>
      <c r="M113" s="129"/>
      <c r="N113" s="58"/>
      <c r="O113" s="135"/>
      <c r="P113" s="135"/>
    </row>
    <row r="114" spans="3:16" x14ac:dyDescent="0.45">
      <c r="C114" s="64" t="s">
        <v>188</v>
      </c>
      <c r="D114" s="64" t="s">
        <v>185</v>
      </c>
      <c r="E114" s="64">
        <v>1400</v>
      </c>
      <c r="F114" s="65">
        <v>0.35</v>
      </c>
      <c r="G114" s="66">
        <f t="shared" si="22"/>
        <v>489.99999999999994</v>
      </c>
      <c r="H114" s="129"/>
      <c r="I114" s="159"/>
      <c r="J114" s="129"/>
      <c r="K114" s="129"/>
      <c r="L114" s="146"/>
      <c r="M114" s="129"/>
      <c r="N114" s="58"/>
      <c r="O114" s="135"/>
      <c r="P114" s="135"/>
    </row>
    <row r="115" spans="3:16" x14ac:dyDescent="0.45">
      <c r="C115" s="64" t="s">
        <v>186</v>
      </c>
      <c r="D115" s="64" t="s">
        <v>187</v>
      </c>
      <c r="E115" s="64">
        <v>24</v>
      </c>
      <c r="F115" s="65">
        <v>5</v>
      </c>
      <c r="G115" s="66">
        <f t="shared" si="22"/>
        <v>120</v>
      </c>
      <c r="H115" s="129"/>
      <c r="I115" s="159"/>
      <c r="J115" s="129"/>
      <c r="K115" s="129"/>
      <c r="L115" s="146"/>
      <c r="M115" s="129"/>
      <c r="N115" s="58"/>
      <c r="O115" s="135"/>
      <c r="P115" s="135"/>
    </row>
    <row r="116" spans="3:16" x14ac:dyDescent="0.45">
      <c r="C116" s="50" t="s">
        <v>226</v>
      </c>
      <c r="D116" s="51" t="s">
        <v>256</v>
      </c>
      <c r="E116" s="51"/>
      <c r="F116" s="51"/>
      <c r="G116" s="21"/>
      <c r="H116" s="128">
        <f>SUM(G118:G118)</f>
        <v>270</v>
      </c>
      <c r="I116" s="130">
        <v>4</v>
      </c>
      <c r="J116" s="128">
        <f>$D$7*I116</f>
        <v>180</v>
      </c>
      <c r="K116" s="128">
        <f>SUM(G118)</f>
        <v>270</v>
      </c>
      <c r="L116" s="132">
        <v>3</v>
      </c>
      <c r="M116" s="128">
        <f>$D$7*L116</f>
        <v>135</v>
      </c>
      <c r="N116" s="57"/>
      <c r="O116" s="134">
        <f>SUM(H116+J116)</f>
        <v>450</v>
      </c>
      <c r="P116" s="134">
        <f>SUM(K116+M116)</f>
        <v>405</v>
      </c>
    </row>
    <row r="117" spans="3:16" x14ac:dyDescent="0.45">
      <c r="C117" s="104" t="s">
        <v>245</v>
      </c>
      <c r="D117" s="104" t="s">
        <v>149</v>
      </c>
      <c r="E117" s="104">
        <v>3</v>
      </c>
      <c r="F117" s="105">
        <v>90</v>
      </c>
      <c r="G117" s="106">
        <f t="shared" ref="G117:G118" si="23">F117*E117</f>
        <v>270</v>
      </c>
      <c r="H117" s="129"/>
      <c r="I117" s="131"/>
      <c r="J117" s="129"/>
      <c r="K117" s="129"/>
      <c r="L117" s="133"/>
      <c r="M117" s="129"/>
      <c r="N117" s="58"/>
      <c r="O117" s="135"/>
      <c r="P117" s="135"/>
    </row>
    <row r="118" spans="3:16" x14ac:dyDescent="0.45">
      <c r="C118" s="64" t="s">
        <v>245</v>
      </c>
      <c r="D118" s="64" t="s">
        <v>149</v>
      </c>
      <c r="E118" s="64">
        <v>3</v>
      </c>
      <c r="F118" s="65">
        <v>90</v>
      </c>
      <c r="G118" s="66">
        <f t="shared" si="23"/>
        <v>270</v>
      </c>
      <c r="H118" s="147"/>
      <c r="I118" s="148"/>
      <c r="J118" s="147"/>
      <c r="K118" s="147"/>
      <c r="L118" s="149"/>
      <c r="M118" s="147"/>
      <c r="N118" s="58"/>
      <c r="O118" s="150"/>
      <c r="P118" s="150"/>
    </row>
    <row r="119" spans="3:16" x14ac:dyDescent="0.45">
      <c r="C119" s="50" t="s">
        <v>257</v>
      </c>
      <c r="D119" s="51" t="s">
        <v>178</v>
      </c>
      <c r="E119" s="51"/>
      <c r="F119" s="51"/>
      <c r="G119" s="21"/>
      <c r="H119" s="128">
        <f>SUM(G120:G121)</f>
        <v>1298</v>
      </c>
      <c r="I119" s="130">
        <v>3</v>
      </c>
      <c r="J119" s="128">
        <f>I119*$D$7</f>
        <v>135</v>
      </c>
      <c r="K119" s="128">
        <f>SUM(G122:G123)</f>
        <v>2025</v>
      </c>
      <c r="L119" s="132">
        <v>3</v>
      </c>
      <c r="M119" s="128">
        <f>$D$7*L119</f>
        <v>135</v>
      </c>
      <c r="N119" s="57"/>
      <c r="O119" s="134">
        <f>SUM(H119+J119)</f>
        <v>1433</v>
      </c>
      <c r="P119" s="134">
        <f>SUM(K119+M119)</f>
        <v>2160</v>
      </c>
    </row>
    <row r="120" spans="3:16" x14ac:dyDescent="0.45">
      <c r="C120" s="104" t="s">
        <v>258</v>
      </c>
      <c r="D120" s="104" t="s">
        <v>248</v>
      </c>
      <c r="E120" s="104">
        <v>1</v>
      </c>
      <c r="F120" s="105">
        <v>899</v>
      </c>
      <c r="G120" s="106">
        <f t="shared" ref="G120:G123" si="24">F120*E120</f>
        <v>899</v>
      </c>
      <c r="H120" s="129"/>
      <c r="I120" s="131"/>
      <c r="J120" s="129"/>
      <c r="K120" s="129"/>
      <c r="L120" s="133"/>
      <c r="M120" s="129"/>
      <c r="N120" s="58"/>
      <c r="O120" s="135"/>
      <c r="P120" s="135"/>
    </row>
    <row r="121" spans="3:16" x14ac:dyDescent="0.45">
      <c r="C121" s="104" t="s">
        <v>259</v>
      </c>
      <c r="D121" s="104" t="s">
        <v>248</v>
      </c>
      <c r="E121" s="104">
        <v>1</v>
      </c>
      <c r="F121" s="105">
        <v>399</v>
      </c>
      <c r="G121" s="106">
        <f t="shared" si="24"/>
        <v>399</v>
      </c>
      <c r="H121" s="129"/>
      <c r="I121" s="131"/>
      <c r="J121" s="129"/>
      <c r="K121" s="129"/>
      <c r="L121" s="133"/>
      <c r="M121" s="129"/>
      <c r="N121" s="58"/>
      <c r="O121" s="135"/>
      <c r="P121" s="135"/>
    </row>
    <row r="122" spans="3:16" x14ac:dyDescent="0.45">
      <c r="C122" s="64" t="s">
        <v>192</v>
      </c>
      <c r="D122" s="64" t="s">
        <v>193</v>
      </c>
      <c r="E122" s="64">
        <v>1</v>
      </c>
      <c r="F122" s="65">
        <v>1650</v>
      </c>
      <c r="G122" s="66">
        <f t="shared" si="24"/>
        <v>1650</v>
      </c>
      <c r="H122" s="129"/>
      <c r="I122" s="131"/>
      <c r="J122" s="129"/>
      <c r="K122" s="129"/>
      <c r="L122" s="133"/>
      <c r="M122" s="129"/>
      <c r="N122" s="58"/>
      <c r="O122" s="135"/>
      <c r="P122" s="135"/>
    </row>
    <row r="123" spans="3:16" x14ac:dyDescent="0.45">
      <c r="C123" s="64" t="s">
        <v>250</v>
      </c>
      <c r="D123" s="64" t="s">
        <v>260</v>
      </c>
      <c r="E123" s="64">
        <v>1</v>
      </c>
      <c r="F123" s="65">
        <v>375</v>
      </c>
      <c r="G123" s="66">
        <f t="shared" si="24"/>
        <v>375</v>
      </c>
      <c r="H123" s="147"/>
      <c r="I123" s="148"/>
      <c r="J123" s="147"/>
      <c r="K123" s="147"/>
      <c r="L123" s="149"/>
      <c r="M123" s="147"/>
      <c r="N123" s="59"/>
      <c r="O123" s="150"/>
      <c r="P123" s="150"/>
    </row>
    <row r="124" spans="3:16" x14ac:dyDescent="0.45">
      <c r="C124" s="142" t="s">
        <v>133</v>
      </c>
      <c r="D124" s="142"/>
      <c r="E124" s="142"/>
      <c r="F124" s="142"/>
      <c r="G124" s="142"/>
      <c r="H124" s="67">
        <f t="shared" ref="H124:P124" si="25">SUM(H106:H123)</f>
        <v>17304</v>
      </c>
      <c r="I124" s="68">
        <f t="shared" si="25"/>
        <v>24.393939393939394</v>
      </c>
      <c r="J124" s="67">
        <f t="shared" si="25"/>
        <v>1317.060606060606</v>
      </c>
      <c r="K124" s="67">
        <f t="shared" si="25"/>
        <v>9555</v>
      </c>
      <c r="L124" s="68">
        <f t="shared" si="25"/>
        <v>29.7</v>
      </c>
      <c r="M124" s="67">
        <f t="shared" si="25"/>
        <v>1554.3333333333335</v>
      </c>
      <c r="N124" s="67">
        <f t="shared" si="25"/>
        <v>0</v>
      </c>
      <c r="O124" s="67">
        <f t="shared" si="25"/>
        <v>18621.060606060604</v>
      </c>
      <c r="P124" s="67">
        <f t="shared" si="25"/>
        <v>11109.333333333334</v>
      </c>
    </row>
    <row r="125" spans="3:16" ht="14.65" thickBot="1" x14ac:dyDescent="0.5">
      <c r="C125" s="70"/>
      <c r="D125" s="70"/>
      <c r="E125" s="70"/>
      <c r="F125" s="70"/>
      <c r="G125" s="70"/>
      <c r="H125" s="71"/>
      <c r="I125" s="72"/>
      <c r="J125" s="71"/>
      <c r="K125" s="71"/>
      <c r="L125" s="72"/>
      <c r="M125" s="71"/>
      <c r="N125" s="71"/>
      <c r="O125" s="71"/>
      <c r="P125" s="71"/>
    </row>
    <row r="126" spans="3:16" x14ac:dyDescent="0.45">
      <c r="C126" s="136" t="s">
        <v>263</v>
      </c>
      <c r="D126" s="136"/>
      <c r="E126" s="136"/>
      <c r="F126" s="136"/>
      <c r="G126" s="137"/>
      <c r="H126" s="107" t="s">
        <v>121</v>
      </c>
      <c r="I126" s="107" t="s">
        <v>122</v>
      </c>
      <c r="J126" s="107" t="s">
        <v>123</v>
      </c>
      <c r="K126" s="48" t="s">
        <v>124</v>
      </c>
      <c r="L126" s="48" t="s">
        <v>125</v>
      </c>
      <c r="M126" s="48" t="s">
        <v>126</v>
      </c>
      <c r="N126" s="48"/>
      <c r="O126" s="107" t="s">
        <v>127</v>
      </c>
      <c r="P126" s="49" t="s">
        <v>128</v>
      </c>
    </row>
    <row r="127" spans="3:16" x14ac:dyDescent="0.45">
      <c r="C127" s="23" t="s">
        <v>170</v>
      </c>
      <c r="D127" s="21" t="s">
        <v>232</v>
      </c>
      <c r="E127" s="51"/>
      <c r="F127" s="51"/>
      <c r="G127" s="21"/>
      <c r="H127" s="140">
        <f>SUM(G128:G129)</f>
        <v>7000</v>
      </c>
      <c r="I127" s="158">
        <f>(E128/$H$9)</f>
        <v>9.3333333333333339</v>
      </c>
      <c r="J127" s="140">
        <f>I127*$D$10</f>
        <v>858.66666666666674</v>
      </c>
      <c r="K127" s="140">
        <f>H127</f>
        <v>7000</v>
      </c>
      <c r="L127" s="130">
        <v>9.3000000000000007</v>
      </c>
      <c r="M127" s="140">
        <f>J127</f>
        <v>858.66666666666674</v>
      </c>
      <c r="N127" s="55"/>
      <c r="O127" s="138">
        <f>SUM(H127+J127)</f>
        <v>7858.666666666667</v>
      </c>
      <c r="P127" s="138">
        <f>SUM(K127+M127)</f>
        <v>7858.666666666667</v>
      </c>
    </row>
    <row r="128" spans="3:16" x14ac:dyDescent="0.45">
      <c r="C128" s="112" t="s">
        <v>233</v>
      </c>
      <c r="D128" s="112" t="s">
        <v>234</v>
      </c>
      <c r="E128" s="112">
        <v>2800</v>
      </c>
      <c r="F128" s="113">
        <v>0.4</v>
      </c>
      <c r="G128" s="114">
        <f>F128*E128</f>
        <v>1120</v>
      </c>
      <c r="H128" s="141"/>
      <c r="I128" s="159"/>
      <c r="J128" s="141"/>
      <c r="K128" s="141"/>
      <c r="L128" s="131"/>
      <c r="M128" s="141"/>
      <c r="N128" s="56"/>
      <c r="O128" s="139"/>
      <c r="P128" s="139"/>
    </row>
    <row r="129" spans="3:16" x14ac:dyDescent="0.45">
      <c r="C129" s="112" t="s">
        <v>235</v>
      </c>
      <c r="D129" s="112" t="s">
        <v>149</v>
      </c>
      <c r="E129" s="112">
        <v>2800</v>
      </c>
      <c r="F129" s="113">
        <v>2.1</v>
      </c>
      <c r="G129" s="114">
        <f>F129*E129</f>
        <v>5880</v>
      </c>
      <c r="H129" s="155"/>
      <c r="I129" s="159"/>
      <c r="J129" s="155"/>
      <c r="K129" s="155"/>
      <c r="L129" s="148"/>
      <c r="M129" s="155"/>
      <c r="N129" s="56"/>
      <c r="O129" s="154"/>
      <c r="P129" s="154"/>
    </row>
    <row r="130" spans="3:16" x14ac:dyDescent="0.45">
      <c r="C130" s="50" t="s">
        <v>181</v>
      </c>
      <c r="D130" s="51" t="s">
        <v>178</v>
      </c>
      <c r="E130" s="51"/>
      <c r="F130" s="51"/>
      <c r="G130" s="21"/>
      <c r="H130" s="128">
        <v>0</v>
      </c>
      <c r="I130" s="130">
        <v>0</v>
      </c>
      <c r="J130" s="128">
        <v>0</v>
      </c>
      <c r="K130" s="128">
        <f>SUM(G131:G131)</f>
        <v>6300</v>
      </c>
      <c r="L130" s="145">
        <v>5</v>
      </c>
      <c r="M130" s="128">
        <f>L130*$D$7</f>
        <v>225</v>
      </c>
      <c r="N130" s="57"/>
      <c r="O130" s="134">
        <f>SUM(H130+J130)</f>
        <v>0</v>
      </c>
      <c r="P130" s="134">
        <f>SUM(K130+M130)</f>
        <v>6525</v>
      </c>
    </row>
    <row r="131" spans="3:16" x14ac:dyDescent="0.45">
      <c r="C131" s="64" t="s">
        <v>182</v>
      </c>
      <c r="D131" s="64" t="s">
        <v>159</v>
      </c>
      <c r="E131" s="64">
        <v>2800</v>
      </c>
      <c r="F131" s="65">
        <v>2.25</v>
      </c>
      <c r="G131" s="66">
        <f t="shared" ref="G131" si="26">F131*E131</f>
        <v>6300</v>
      </c>
      <c r="H131" s="129"/>
      <c r="I131" s="131"/>
      <c r="J131" s="129"/>
      <c r="K131" s="129"/>
      <c r="L131" s="146"/>
      <c r="M131" s="129"/>
      <c r="N131" s="58"/>
      <c r="O131" s="135"/>
      <c r="P131" s="135"/>
    </row>
    <row r="132" spans="3:16" x14ac:dyDescent="0.45">
      <c r="C132" s="50" t="s">
        <v>183</v>
      </c>
      <c r="D132" s="51" t="s">
        <v>178</v>
      </c>
      <c r="E132" s="51"/>
      <c r="F132" s="51"/>
      <c r="G132" s="21"/>
      <c r="H132" s="128">
        <f>SUM(G133:G134)</f>
        <v>24472</v>
      </c>
      <c r="I132" s="158">
        <f>SUM(E133/$H$7)</f>
        <v>25.454545454545453</v>
      </c>
      <c r="J132" s="128">
        <f>$D$7*I132</f>
        <v>1145.4545454545455</v>
      </c>
      <c r="K132" s="128">
        <f>SUM(G135:G136)</f>
        <v>1100</v>
      </c>
      <c r="L132" s="145">
        <v>30</v>
      </c>
      <c r="M132" s="128">
        <f>L132*$D$7</f>
        <v>1350</v>
      </c>
      <c r="N132" s="57"/>
      <c r="O132" s="134">
        <f>SUM(H132+J132)</f>
        <v>25617.454545454544</v>
      </c>
      <c r="P132" s="134">
        <f>SUM(K132+M132)</f>
        <v>2450</v>
      </c>
    </row>
    <row r="133" spans="3:16" x14ac:dyDescent="0.45">
      <c r="C133" s="104" t="s">
        <v>253</v>
      </c>
      <c r="D133" s="115" t="s">
        <v>254</v>
      </c>
      <c r="E133" s="104">
        <v>2800</v>
      </c>
      <c r="F133" s="105">
        <v>5.75</v>
      </c>
      <c r="G133" s="106">
        <f t="shared" ref="G133:G136" si="27">F133*E133</f>
        <v>16100</v>
      </c>
      <c r="H133" s="129"/>
      <c r="I133" s="159"/>
      <c r="J133" s="129"/>
      <c r="K133" s="129"/>
      <c r="L133" s="146"/>
      <c r="M133" s="129"/>
      <c r="N133" s="58"/>
      <c r="O133" s="135"/>
      <c r="P133" s="135"/>
    </row>
    <row r="134" spans="3:16" x14ac:dyDescent="0.45">
      <c r="C134" s="104" t="s">
        <v>253</v>
      </c>
      <c r="D134" s="104" t="s">
        <v>255</v>
      </c>
      <c r="E134" s="104">
        <v>2800</v>
      </c>
      <c r="F134" s="105">
        <v>2.99</v>
      </c>
      <c r="G134" s="106">
        <f t="shared" si="27"/>
        <v>8372</v>
      </c>
      <c r="H134" s="129"/>
      <c r="I134" s="159"/>
      <c r="J134" s="129"/>
      <c r="K134" s="129"/>
      <c r="L134" s="146"/>
      <c r="M134" s="129"/>
      <c r="N134" s="58"/>
      <c r="O134" s="135"/>
      <c r="P134" s="135"/>
    </row>
    <row r="135" spans="3:16" x14ac:dyDescent="0.45">
      <c r="C135" s="64" t="s">
        <v>188</v>
      </c>
      <c r="D135" s="64" t="s">
        <v>185</v>
      </c>
      <c r="E135" s="64">
        <v>2800</v>
      </c>
      <c r="F135" s="65">
        <v>0.35</v>
      </c>
      <c r="G135" s="66">
        <f t="shared" si="27"/>
        <v>979.99999999999989</v>
      </c>
      <c r="H135" s="129"/>
      <c r="I135" s="159"/>
      <c r="J135" s="129"/>
      <c r="K135" s="129"/>
      <c r="L135" s="146"/>
      <c r="M135" s="129"/>
      <c r="N135" s="58"/>
      <c r="O135" s="135"/>
      <c r="P135" s="135"/>
    </row>
    <row r="136" spans="3:16" x14ac:dyDescent="0.45">
      <c r="C136" s="64" t="s">
        <v>186</v>
      </c>
      <c r="D136" s="64" t="s">
        <v>187</v>
      </c>
      <c r="E136" s="64">
        <v>24</v>
      </c>
      <c r="F136" s="65">
        <v>5</v>
      </c>
      <c r="G136" s="66">
        <f t="shared" si="27"/>
        <v>120</v>
      </c>
      <c r="H136" s="129"/>
      <c r="I136" s="159"/>
      <c r="J136" s="129"/>
      <c r="K136" s="129"/>
      <c r="L136" s="146"/>
      <c r="M136" s="129"/>
      <c r="N136" s="58"/>
      <c r="O136" s="135"/>
      <c r="P136" s="135"/>
    </row>
    <row r="137" spans="3:16" x14ac:dyDescent="0.45">
      <c r="C137" s="50" t="s">
        <v>226</v>
      </c>
      <c r="D137" s="51" t="s">
        <v>256</v>
      </c>
      <c r="E137" s="51"/>
      <c r="F137" s="51"/>
      <c r="G137" s="21"/>
      <c r="H137" s="128">
        <f>SUM(G139:G139)</f>
        <v>270</v>
      </c>
      <c r="I137" s="130">
        <v>3</v>
      </c>
      <c r="J137" s="128">
        <f>$D$7*I137</f>
        <v>135</v>
      </c>
      <c r="K137" s="128">
        <f>SUM(G139)</f>
        <v>270</v>
      </c>
      <c r="L137" s="132">
        <v>3</v>
      </c>
      <c r="M137" s="128">
        <f>$D$7*L137</f>
        <v>135</v>
      </c>
      <c r="N137" s="57"/>
      <c r="O137" s="134">
        <f>SUM(H137+J137)</f>
        <v>405</v>
      </c>
      <c r="P137" s="134">
        <f>SUM(K137+M137)</f>
        <v>405</v>
      </c>
    </row>
    <row r="138" spans="3:16" x14ac:dyDescent="0.45">
      <c r="C138" s="104" t="s">
        <v>245</v>
      </c>
      <c r="D138" s="104" t="s">
        <v>149</v>
      </c>
      <c r="E138" s="104">
        <v>3</v>
      </c>
      <c r="F138" s="105">
        <v>90</v>
      </c>
      <c r="G138" s="106">
        <f t="shared" ref="G138:G139" si="28">F138*E138</f>
        <v>270</v>
      </c>
      <c r="H138" s="129"/>
      <c r="I138" s="131"/>
      <c r="J138" s="129"/>
      <c r="K138" s="129"/>
      <c r="L138" s="133"/>
      <c r="M138" s="129"/>
      <c r="N138" s="58"/>
      <c r="O138" s="135"/>
      <c r="P138" s="135"/>
    </row>
    <row r="139" spans="3:16" x14ac:dyDescent="0.45">
      <c r="C139" s="64" t="s">
        <v>245</v>
      </c>
      <c r="D139" s="64" t="s">
        <v>149</v>
      </c>
      <c r="E139" s="64">
        <v>3</v>
      </c>
      <c r="F139" s="65">
        <v>90</v>
      </c>
      <c r="G139" s="66">
        <f t="shared" si="28"/>
        <v>270</v>
      </c>
      <c r="H139" s="147"/>
      <c r="I139" s="148"/>
      <c r="J139" s="147"/>
      <c r="K139" s="147"/>
      <c r="L139" s="149"/>
      <c r="M139" s="147"/>
      <c r="N139" s="58"/>
      <c r="O139" s="150"/>
      <c r="P139" s="150"/>
    </row>
    <row r="140" spans="3:16" x14ac:dyDescent="0.45">
      <c r="C140" s="50" t="s">
        <v>257</v>
      </c>
      <c r="D140" s="51" t="s">
        <v>178</v>
      </c>
      <c r="E140" s="51"/>
      <c r="F140" s="51"/>
      <c r="G140" s="21"/>
      <c r="H140" s="128">
        <f>SUM(G141:G141)</f>
        <v>899</v>
      </c>
      <c r="I140" s="130">
        <v>3</v>
      </c>
      <c r="J140" s="128">
        <f>I140*$D$7</f>
        <v>135</v>
      </c>
      <c r="K140" s="128">
        <f>SUM(G142:G143)</f>
        <v>2025</v>
      </c>
      <c r="L140" s="132">
        <v>3</v>
      </c>
      <c r="M140" s="128">
        <f>$D$7*L140</f>
        <v>135</v>
      </c>
      <c r="N140" s="57"/>
      <c r="O140" s="134">
        <f>SUM(H140+J140)</f>
        <v>1034</v>
      </c>
      <c r="P140" s="134">
        <f>SUM(K140+M140)</f>
        <v>2160</v>
      </c>
    </row>
    <row r="141" spans="3:16" x14ac:dyDescent="0.45">
      <c r="C141" s="104" t="s">
        <v>258</v>
      </c>
      <c r="D141" s="104" t="s">
        <v>248</v>
      </c>
      <c r="E141" s="104">
        <v>1</v>
      </c>
      <c r="F141" s="105">
        <v>899</v>
      </c>
      <c r="G141" s="106">
        <f t="shared" ref="G141:G143" si="29">F141*E141</f>
        <v>899</v>
      </c>
      <c r="H141" s="129"/>
      <c r="I141" s="131"/>
      <c r="J141" s="129"/>
      <c r="K141" s="129"/>
      <c r="L141" s="133"/>
      <c r="M141" s="129"/>
      <c r="N141" s="58"/>
      <c r="O141" s="135"/>
      <c r="P141" s="135"/>
    </row>
    <row r="142" spans="3:16" x14ac:dyDescent="0.45">
      <c r="C142" s="64" t="s">
        <v>192</v>
      </c>
      <c r="D142" s="64" t="s">
        <v>193</v>
      </c>
      <c r="E142" s="64">
        <v>1</v>
      </c>
      <c r="F142" s="65">
        <v>1650</v>
      </c>
      <c r="G142" s="66">
        <f t="shared" si="29"/>
        <v>1650</v>
      </c>
      <c r="H142" s="129"/>
      <c r="I142" s="131"/>
      <c r="J142" s="129"/>
      <c r="K142" s="129"/>
      <c r="L142" s="133"/>
      <c r="M142" s="129"/>
      <c r="N142" s="58"/>
      <c r="O142" s="135"/>
      <c r="P142" s="135"/>
    </row>
    <row r="143" spans="3:16" x14ac:dyDescent="0.45">
      <c r="C143" s="64" t="s">
        <v>250</v>
      </c>
      <c r="D143" s="64" t="s">
        <v>260</v>
      </c>
      <c r="E143" s="64">
        <v>1</v>
      </c>
      <c r="F143" s="65">
        <v>375</v>
      </c>
      <c r="G143" s="66">
        <f t="shared" si="29"/>
        <v>375</v>
      </c>
      <c r="H143" s="147"/>
      <c r="I143" s="148"/>
      <c r="J143" s="147"/>
      <c r="K143" s="147"/>
      <c r="L143" s="149"/>
      <c r="M143" s="147"/>
      <c r="N143" s="59"/>
      <c r="O143" s="150"/>
      <c r="P143" s="150"/>
    </row>
    <row r="144" spans="3:16" x14ac:dyDescent="0.45">
      <c r="C144" s="142" t="s">
        <v>133</v>
      </c>
      <c r="D144" s="142"/>
      <c r="E144" s="142"/>
      <c r="F144" s="142"/>
      <c r="G144" s="142"/>
      <c r="H144" s="67">
        <f t="shared" ref="H144:P144" si="30">SUM(H127:H143)</f>
        <v>32641</v>
      </c>
      <c r="I144" s="68">
        <f t="shared" si="30"/>
        <v>40.787878787878789</v>
      </c>
      <c r="J144" s="67">
        <f t="shared" si="30"/>
        <v>2274.121212121212</v>
      </c>
      <c r="K144" s="67">
        <f t="shared" si="30"/>
        <v>16695</v>
      </c>
      <c r="L144" s="68">
        <f t="shared" si="30"/>
        <v>50.3</v>
      </c>
      <c r="M144" s="67">
        <f t="shared" si="30"/>
        <v>2703.666666666667</v>
      </c>
      <c r="N144" s="67">
        <f t="shared" si="30"/>
        <v>0</v>
      </c>
      <c r="O144" s="67">
        <f t="shared" si="30"/>
        <v>34915.121212121208</v>
      </c>
      <c r="P144" s="67">
        <f t="shared" si="30"/>
        <v>19398.666666666668</v>
      </c>
    </row>
    <row r="145" spans="3:16" ht="14.65" thickBot="1" x14ac:dyDescent="0.5">
      <c r="C145" s="70"/>
      <c r="D145" s="70"/>
      <c r="E145" s="70"/>
      <c r="F145" s="70"/>
      <c r="G145" s="70"/>
      <c r="H145" s="71"/>
      <c r="I145" s="72"/>
      <c r="J145" s="71"/>
      <c r="K145" s="71"/>
      <c r="L145" s="72"/>
      <c r="M145" s="71"/>
      <c r="N145" s="71"/>
      <c r="O145" s="71"/>
      <c r="P145" s="71"/>
    </row>
    <row r="146" spans="3:16" x14ac:dyDescent="0.45">
      <c r="C146" s="136" t="s">
        <v>204</v>
      </c>
      <c r="D146" s="136"/>
      <c r="E146" s="136"/>
      <c r="F146" s="136"/>
      <c r="G146" s="137"/>
      <c r="H146" s="107" t="s">
        <v>121</v>
      </c>
      <c r="I146" s="107" t="s">
        <v>122</v>
      </c>
      <c r="J146" s="107" t="s">
        <v>123</v>
      </c>
      <c r="K146" s="48" t="s">
        <v>124</v>
      </c>
      <c r="L146" s="48" t="s">
        <v>125</v>
      </c>
      <c r="M146" s="48" t="s">
        <v>126</v>
      </c>
      <c r="N146" s="48"/>
      <c r="O146" s="107" t="s">
        <v>127</v>
      </c>
      <c r="P146" s="49" t="s">
        <v>128</v>
      </c>
    </row>
    <row r="147" spans="3:16" x14ac:dyDescent="0.45">
      <c r="C147" s="22" t="s">
        <v>205</v>
      </c>
      <c r="D147" s="21" t="s">
        <v>206</v>
      </c>
      <c r="E147" s="51"/>
      <c r="F147" s="51"/>
      <c r="G147" s="21"/>
      <c r="H147" s="128">
        <f>SUM(G148:G148)</f>
        <v>2400</v>
      </c>
      <c r="I147" s="130">
        <v>6</v>
      </c>
      <c r="J147" s="128">
        <f>$D$7*I147</f>
        <v>270</v>
      </c>
      <c r="K147" s="128">
        <f>SUM(G149:G149)</f>
        <v>800</v>
      </c>
      <c r="L147" s="132">
        <v>6</v>
      </c>
      <c r="M147" s="128">
        <f>L147*$D$7</f>
        <v>270</v>
      </c>
      <c r="N147" s="57"/>
      <c r="O147" s="134">
        <f>SUM(H147+J147)</f>
        <v>2670</v>
      </c>
      <c r="P147" s="134">
        <f>SUM(K147+M147)</f>
        <v>1070</v>
      </c>
    </row>
    <row r="148" spans="3:16" x14ac:dyDescent="0.45">
      <c r="C148" s="104" t="s">
        <v>151</v>
      </c>
      <c r="D148" s="104" t="s">
        <v>159</v>
      </c>
      <c r="E148" s="104">
        <v>24</v>
      </c>
      <c r="F148" s="105">
        <v>100</v>
      </c>
      <c r="G148" s="106">
        <f t="shared" ref="G148:G149" si="31">F148*E148</f>
        <v>2400</v>
      </c>
      <c r="H148" s="129"/>
      <c r="I148" s="131"/>
      <c r="J148" s="129"/>
      <c r="K148" s="129"/>
      <c r="L148" s="133"/>
      <c r="M148" s="129"/>
      <c r="N148" s="58"/>
      <c r="O148" s="135"/>
      <c r="P148" s="135"/>
    </row>
    <row r="149" spans="3:16" x14ac:dyDescent="0.45">
      <c r="C149" s="64" t="s">
        <v>151</v>
      </c>
      <c r="D149" s="64" t="s">
        <v>159</v>
      </c>
      <c r="E149" s="64">
        <v>8</v>
      </c>
      <c r="F149" s="65">
        <v>100</v>
      </c>
      <c r="G149" s="66">
        <f t="shared" si="31"/>
        <v>800</v>
      </c>
      <c r="H149" s="129"/>
      <c r="I149" s="131"/>
      <c r="J149" s="129"/>
      <c r="K149" s="129"/>
      <c r="L149" s="133"/>
      <c r="M149" s="129"/>
      <c r="N149" s="58"/>
      <c r="O149" s="135"/>
      <c r="P149" s="135"/>
    </row>
    <row r="150" spans="3:16" x14ac:dyDescent="0.45">
      <c r="C150" s="22" t="s">
        <v>207</v>
      </c>
      <c r="D150" s="21" t="s">
        <v>208</v>
      </c>
      <c r="E150" s="51"/>
      <c r="F150" s="51"/>
      <c r="G150" s="21"/>
      <c r="H150" s="128">
        <f>SUM(G151:G151)</f>
        <v>225</v>
      </c>
      <c r="I150" s="130">
        <v>15</v>
      </c>
      <c r="J150" s="128">
        <f>I150*$D$7</f>
        <v>675</v>
      </c>
      <c r="K150" s="128">
        <f>SUM(G152:G152)</f>
        <v>75</v>
      </c>
      <c r="L150" s="132">
        <v>3</v>
      </c>
      <c r="M150" s="128">
        <f>L150*$D$7</f>
        <v>135</v>
      </c>
      <c r="N150" s="57"/>
      <c r="O150" s="134">
        <f>SUM(H150+J150)</f>
        <v>900</v>
      </c>
      <c r="P150" s="134">
        <f>SUM(K150+M150)</f>
        <v>210</v>
      </c>
    </row>
    <row r="151" spans="3:16" x14ac:dyDescent="0.45">
      <c r="C151" s="104" t="s">
        <v>209</v>
      </c>
      <c r="D151" s="104" t="s">
        <v>159</v>
      </c>
      <c r="E151" s="104">
        <v>300</v>
      </c>
      <c r="F151" s="105">
        <v>0.75</v>
      </c>
      <c r="G151" s="106">
        <f t="shared" ref="G151:G152" si="32">F151*E151</f>
        <v>225</v>
      </c>
      <c r="H151" s="129"/>
      <c r="I151" s="131"/>
      <c r="J151" s="129"/>
      <c r="K151" s="129"/>
      <c r="L151" s="133"/>
      <c r="M151" s="129"/>
      <c r="N151" s="58"/>
      <c r="O151" s="135"/>
      <c r="P151" s="135"/>
    </row>
    <row r="152" spans="3:16" x14ac:dyDescent="0.45">
      <c r="C152" s="64" t="s">
        <v>209</v>
      </c>
      <c r="D152" s="64" t="s">
        <v>159</v>
      </c>
      <c r="E152" s="64">
        <v>100</v>
      </c>
      <c r="F152" s="65">
        <v>0.75</v>
      </c>
      <c r="G152" s="66">
        <f t="shared" si="32"/>
        <v>75</v>
      </c>
      <c r="H152" s="129"/>
      <c r="I152" s="131"/>
      <c r="J152" s="129"/>
      <c r="K152" s="129"/>
      <c r="L152" s="133"/>
      <c r="M152" s="129"/>
      <c r="N152" s="58"/>
      <c r="O152" s="135"/>
      <c r="P152" s="135"/>
    </row>
    <row r="153" spans="3:16" x14ac:dyDescent="0.45">
      <c r="C153" s="22" t="s">
        <v>210</v>
      </c>
      <c r="D153" s="21" t="s">
        <v>211</v>
      </c>
      <c r="E153" s="51"/>
      <c r="F153" s="51"/>
      <c r="G153" s="21"/>
      <c r="H153" s="128">
        <f>SUM(G154:G154)</f>
        <v>0</v>
      </c>
      <c r="I153" s="130">
        <v>7</v>
      </c>
      <c r="J153" s="128">
        <f>I153*$D$5</f>
        <v>1449</v>
      </c>
      <c r="K153" s="128">
        <f>SUM(G155:G155)</f>
        <v>0</v>
      </c>
      <c r="L153" s="132">
        <v>2</v>
      </c>
      <c r="M153" s="128">
        <f>L153*D8</f>
        <v>330</v>
      </c>
      <c r="N153" s="57"/>
      <c r="O153" s="134">
        <f>SUM(H153+J153)</f>
        <v>1449</v>
      </c>
      <c r="P153" s="134">
        <f>SUM(K153+M153)</f>
        <v>330</v>
      </c>
    </row>
    <row r="154" spans="3:16" x14ac:dyDescent="0.45">
      <c r="C154" s="104"/>
      <c r="D154" s="104"/>
      <c r="E154" s="104"/>
      <c r="F154" s="105"/>
      <c r="G154" s="106">
        <f t="shared" ref="G154:G155" si="33">F154*E154</f>
        <v>0</v>
      </c>
      <c r="H154" s="129"/>
      <c r="I154" s="131"/>
      <c r="J154" s="129"/>
      <c r="K154" s="129"/>
      <c r="L154" s="133"/>
      <c r="M154" s="129"/>
      <c r="N154" s="58"/>
      <c r="O154" s="135"/>
      <c r="P154" s="135"/>
    </row>
    <row r="155" spans="3:16" x14ac:dyDescent="0.45">
      <c r="C155" s="64"/>
      <c r="D155" s="64"/>
      <c r="E155" s="64"/>
      <c r="F155" s="65"/>
      <c r="G155" s="66">
        <f t="shared" si="33"/>
        <v>0</v>
      </c>
      <c r="H155" s="129"/>
      <c r="I155" s="131"/>
      <c r="J155" s="129"/>
      <c r="K155" s="129"/>
      <c r="L155" s="133"/>
      <c r="M155" s="129"/>
      <c r="N155" s="58"/>
      <c r="O155" s="135"/>
      <c r="P155" s="135"/>
    </row>
    <row r="156" spans="3:16" x14ac:dyDescent="0.45">
      <c r="C156" s="22" t="s">
        <v>212</v>
      </c>
      <c r="D156" s="21" t="s">
        <v>213</v>
      </c>
      <c r="E156" s="51"/>
      <c r="F156" s="51"/>
      <c r="G156" s="21"/>
      <c r="H156" s="128">
        <f>SUM(G157:G157)</f>
        <v>0</v>
      </c>
      <c r="I156" s="130">
        <v>0</v>
      </c>
      <c r="J156" s="128"/>
      <c r="K156" s="128">
        <f>SUM(G158:G158)</f>
        <v>0</v>
      </c>
      <c r="L156" s="132">
        <v>0</v>
      </c>
      <c r="M156" s="128">
        <v>0</v>
      </c>
      <c r="N156" s="57"/>
      <c r="O156" s="134">
        <f>SUM(H156+J156)</f>
        <v>0</v>
      </c>
      <c r="P156" s="134">
        <f>SUM(K156+M156)</f>
        <v>0</v>
      </c>
    </row>
    <row r="157" spans="3:16" x14ac:dyDescent="0.45">
      <c r="C157" s="104"/>
      <c r="D157" s="104"/>
      <c r="E157" s="104"/>
      <c r="F157" s="105"/>
      <c r="G157" s="106">
        <f t="shared" ref="G157:G158" si="34">F157*E157</f>
        <v>0</v>
      </c>
      <c r="H157" s="129"/>
      <c r="I157" s="131"/>
      <c r="J157" s="129"/>
      <c r="K157" s="129"/>
      <c r="L157" s="133"/>
      <c r="M157" s="129"/>
      <c r="N157" s="58"/>
      <c r="O157" s="135"/>
      <c r="P157" s="135"/>
    </row>
    <row r="158" spans="3:16" x14ac:dyDescent="0.45">
      <c r="C158" s="64"/>
      <c r="D158" s="64"/>
      <c r="E158" s="64"/>
      <c r="F158" s="65"/>
      <c r="G158" s="66">
        <f t="shared" si="34"/>
        <v>0</v>
      </c>
      <c r="H158" s="129"/>
      <c r="I158" s="131"/>
      <c r="J158" s="129"/>
      <c r="K158" s="129"/>
      <c r="L158" s="133"/>
      <c r="M158" s="129"/>
      <c r="N158" s="58"/>
      <c r="O158" s="135"/>
      <c r="P158" s="135"/>
    </row>
    <row r="159" spans="3:16" x14ac:dyDescent="0.45">
      <c r="C159" s="142" t="s">
        <v>133</v>
      </c>
      <c r="D159" s="142"/>
      <c r="E159" s="142"/>
      <c r="F159" s="142"/>
      <c r="G159" s="142"/>
      <c r="H159" s="67">
        <f>SUM(H147:H158)</f>
        <v>2625</v>
      </c>
      <c r="I159" s="68">
        <f t="shared" ref="I159:P159" si="35">SUM(I147:I158)</f>
        <v>28</v>
      </c>
      <c r="J159" s="67">
        <f t="shared" si="35"/>
        <v>2394</v>
      </c>
      <c r="K159" s="67">
        <f t="shared" si="35"/>
        <v>875</v>
      </c>
      <c r="L159" s="68">
        <f t="shared" si="35"/>
        <v>11</v>
      </c>
      <c r="M159" s="67">
        <f t="shared" si="35"/>
        <v>735</v>
      </c>
      <c r="N159" s="67">
        <f t="shared" si="35"/>
        <v>0</v>
      </c>
      <c r="O159" s="67">
        <f t="shared" si="35"/>
        <v>5019</v>
      </c>
      <c r="P159" s="67">
        <f t="shared" si="35"/>
        <v>1610</v>
      </c>
    </row>
    <row r="161" spans="7:16" ht="21" x14ac:dyDescent="0.65">
      <c r="G161" s="100" t="s">
        <v>214</v>
      </c>
      <c r="H161" s="101">
        <f>SUM(H159+H144+H124+H103+H83+H62+H38+H22)</f>
        <v>99692.800000000003</v>
      </c>
      <c r="I161" s="102">
        <f t="shared" ref="I161:P161" si="36">SUM(I159+I144+I124+I103+I83+I62+I38+I22)</f>
        <v>187</v>
      </c>
      <c r="J161" s="101">
        <f t="shared" si="36"/>
        <v>15813.5</v>
      </c>
      <c r="K161" s="101">
        <f t="shared" si="36"/>
        <v>46414.5</v>
      </c>
      <c r="L161" s="102">
        <f t="shared" si="36"/>
        <v>179.1</v>
      </c>
      <c r="M161" s="101">
        <f t="shared" si="36"/>
        <v>13827.5</v>
      </c>
      <c r="N161" s="101">
        <f t="shared" si="36"/>
        <v>0</v>
      </c>
      <c r="O161" s="101">
        <f t="shared" si="36"/>
        <v>115506.29999999999</v>
      </c>
      <c r="P161" s="101">
        <f t="shared" si="36"/>
        <v>60242</v>
      </c>
    </row>
    <row r="163" spans="7:16" x14ac:dyDescent="0.45">
      <c r="I163" s="73"/>
      <c r="O163" s="117">
        <f>O161/4</f>
        <v>28876.574999999997</v>
      </c>
      <c r="P163" s="117">
        <f>P161/4</f>
        <v>15060.5</v>
      </c>
    </row>
    <row r="165" spans="7:16" x14ac:dyDescent="0.45">
      <c r="P165">
        <f>P163/O163</f>
        <v>0.52154730954069173</v>
      </c>
    </row>
  </sheetData>
  <dataConsolidate/>
  <mergeCells count="297">
    <mergeCell ref="H132:H136"/>
    <mergeCell ref="I132:I136"/>
    <mergeCell ref="J132:J136"/>
    <mergeCell ref="K132:K136"/>
    <mergeCell ref="L132:L136"/>
    <mergeCell ref="M132:M136"/>
    <mergeCell ref="O132:O136"/>
    <mergeCell ref="P132:P136"/>
    <mergeCell ref="O140:O143"/>
    <mergeCell ref="P140:P143"/>
    <mergeCell ref="L137:L139"/>
    <mergeCell ref="M137:M139"/>
    <mergeCell ref="O137:O139"/>
    <mergeCell ref="P137:P139"/>
    <mergeCell ref="H140:H143"/>
    <mergeCell ref="I140:I143"/>
    <mergeCell ref="J140:J143"/>
    <mergeCell ref="K140:K143"/>
    <mergeCell ref="L140:L143"/>
    <mergeCell ref="M140:M143"/>
    <mergeCell ref="L127:L129"/>
    <mergeCell ref="M127:M129"/>
    <mergeCell ref="O127:O129"/>
    <mergeCell ref="P127:P129"/>
    <mergeCell ref="H130:H131"/>
    <mergeCell ref="I130:I131"/>
    <mergeCell ref="J130:J131"/>
    <mergeCell ref="K130:K131"/>
    <mergeCell ref="L130:L131"/>
    <mergeCell ref="M130:M131"/>
    <mergeCell ref="H127:H129"/>
    <mergeCell ref="I127:I129"/>
    <mergeCell ref="J127:J129"/>
    <mergeCell ref="K127:K129"/>
    <mergeCell ref="O130:O131"/>
    <mergeCell ref="P130:P131"/>
    <mergeCell ref="P99:P102"/>
    <mergeCell ref="L119:L123"/>
    <mergeCell ref="M119:M123"/>
    <mergeCell ref="O119:O123"/>
    <mergeCell ref="P119:P123"/>
    <mergeCell ref="C124:G124"/>
    <mergeCell ref="C126:G126"/>
    <mergeCell ref="O109:O110"/>
    <mergeCell ref="P109:P110"/>
    <mergeCell ref="H111:H115"/>
    <mergeCell ref="I111:I115"/>
    <mergeCell ref="J111:J115"/>
    <mergeCell ref="K111:K115"/>
    <mergeCell ref="L111:L115"/>
    <mergeCell ref="M111:M115"/>
    <mergeCell ref="O111:O115"/>
    <mergeCell ref="P111:P115"/>
    <mergeCell ref="O116:O118"/>
    <mergeCell ref="P116:P118"/>
    <mergeCell ref="L116:L118"/>
    <mergeCell ref="M116:M118"/>
    <mergeCell ref="L106:L108"/>
    <mergeCell ref="M106:M108"/>
    <mergeCell ref="O106:O108"/>
    <mergeCell ref="P106:P108"/>
    <mergeCell ref="H109:H110"/>
    <mergeCell ref="I109:I110"/>
    <mergeCell ref="J109:J110"/>
    <mergeCell ref="K109:K110"/>
    <mergeCell ref="L109:L110"/>
    <mergeCell ref="M109:M110"/>
    <mergeCell ref="C105:G105"/>
    <mergeCell ref="H106:H108"/>
    <mergeCell ref="I106:I108"/>
    <mergeCell ref="J106:J108"/>
    <mergeCell ref="K106:K108"/>
    <mergeCell ref="H119:H123"/>
    <mergeCell ref="I119:I123"/>
    <mergeCell ref="J119:J123"/>
    <mergeCell ref="K119:K123"/>
    <mergeCell ref="H116:H118"/>
    <mergeCell ref="I116:I118"/>
    <mergeCell ref="J116:J118"/>
    <mergeCell ref="K116:K118"/>
    <mergeCell ref="C103:G103"/>
    <mergeCell ref="O92:O95"/>
    <mergeCell ref="P92:P95"/>
    <mergeCell ref="H96:H98"/>
    <mergeCell ref="I96:I98"/>
    <mergeCell ref="J96:J98"/>
    <mergeCell ref="K96:K98"/>
    <mergeCell ref="L96:L98"/>
    <mergeCell ref="M96:M98"/>
    <mergeCell ref="O96:O98"/>
    <mergeCell ref="P96:P98"/>
    <mergeCell ref="H92:H95"/>
    <mergeCell ref="I92:I95"/>
    <mergeCell ref="J92:J95"/>
    <mergeCell ref="K92:K95"/>
    <mergeCell ref="L92:L95"/>
    <mergeCell ref="M92:M95"/>
    <mergeCell ref="H99:H102"/>
    <mergeCell ref="I99:I102"/>
    <mergeCell ref="J99:J102"/>
    <mergeCell ref="K99:K102"/>
    <mergeCell ref="L99:L102"/>
    <mergeCell ref="M99:M102"/>
    <mergeCell ref="O99:O102"/>
    <mergeCell ref="P75:P77"/>
    <mergeCell ref="O75:O77"/>
    <mergeCell ref="M75:M77"/>
    <mergeCell ref="L75:L77"/>
    <mergeCell ref="K75:K77"/>
    <mergeCell ref="J75:J77"/>
    <mergeCell ref="I75:I77"/>
    <mergeCell ref="H75:H77"/>
    <mergeCell ref="C85:G85"/>
    <mergeCell ref="O78:O82"/>
    <mergeCell ref="P78:P82"/>
    <mergeCell ref="C83:G83"/>
    <mergeCell ref="H78:H82"/>
    <mergeCell ref="I78:I82"/>
    <mergeCell ref="J78:J82"/>
    <mergeCell ref="K78:K82"/>
    <mergeCell ref="L78:L82"/>
    <mergeCell ref="M78:M82"/>
    <mergeCell ref="C159:G159"/>
    <mergeCell ref="O153:O155"/>
    <mergeCell ref="P153:P155"/>
    <mergeCell ref="H156:H158"/>
    <mergeCell ref="I156:I158"/>
    <mergeCell ref="J156:J158"/>
    <mergeCell ref="K156:K158"/>
    <mergeCell ref="L156:L158"/>
    <mergeCell ref="M156:M158"/>
    <mergeCell ref="O156:O158"/>
    <mergeCell ref="P156:P158"/>
    <mergeCell ref="H153:H155"/>
    <mergeCell ref="I153:I155"/>
    <mergeCell ref="J153:J155"/>
    <mergeCell ref="K153:K155"/>
    <mergeCell ref="L153:L155"/>
    <mergeCell ref="M153:M155"/>
    <mergeCell ref="O147:O149"/>
    <mergeCell ref="P147:P149"/>
    <mergeCell ref="H150:H152"/>
    <mergeCell ref="I150:I152"/>
    <mergeCell ref="J150:J152"/>
    <mergeCell ref="K150:K152"/>
    <mergeCell ref="L150:L152"/>
    <mergeCell ref="M150:M152"/>
    <mergeCell ref="O150:O152"/>
    <mergeCell ref="P150:P152"/>
    <mergeCell ref="C146:G146"/>
    <mergeCell ref="H147:H149"/>
    <mergeCell ref="I147:I149"/>
    <mergeCell ref="J147:J149"/>
    <mergeCell ref="K147:K149"/>
    <mergeCell ref="L147:L149"/>
    <mergeCell ref="M147:M149"/>
    <mergeCell ref="H137:H139"/>
    <mergeCell ref="I137:I139"/>
    <mergeCell ref="J137:J139"/>
    <mergeCell ref="K137:K139"/>
    <mergeCell ref="C144:G144"/>
    <mergeCell ref="O86:O89"/>
    <mergeCell ref="P86:P89"/>
    <mergeCell ref="H90:H91"/>
    <mergeCell ref="I90:I91"/>
    <mergeCell ref="J90:J91"/>
    <mergeCell ref="K90:K91"/>
    <mergeCell ref="L90:L91"/>
    <mergeCell ref="M90:M91"/>
    <mergeCell ref="O90:O91"/>
    <mergeCell ref="P90:P91"/>
    <mergeCell ref="H86:H89"/>
    <mergeCell ref="I86:I89"/>
    <mergeCell ref="J86:J89"/>
    <mergeCell ref="K86:K89"/>
    <mergeCell ref="L86:L89"/>
    <mergeCell ref="M86:M89"/>
    <mergeCell ref="O70:O74"/>
    <mergeCell ref="P70:P74"/>
    <mergeCell ref="H70:H74"/>
    <mergeCell ref="I70:I74"/>
    <mergeCell ref="J70:J74"/>
    <mergeCell ref="K70:K74"/>
    <mergeCell ref="L70:L74"/>
    <mergeCell ref="M70:M74"/>
    <mergeCell ref="H68:H69"/>
    <mergeCell ref="I68:I69"/>
    <mergeCell ref="J68:J69"/>
    <mergeCell ref="K68:K69"/>
    <mergeCell ref="L68:L69"/>
    <mergeCell ref="M68:M69"/>
    <mergeCell ref="O68:O69"/>
    <mergeCell ref="P68:P69"/>
    <mergeCell ref="P49:P50"/>
    <mergeCell ref="O65:O67"/>
    <mergeCell ref="P65:P67"/>
    <mergeCell ref="O54:O61"/>
    <mergeCell ref="P54:P61"/>
    <mergeCell ref="C62:G62"/>
    <mergeCell ref="C64:G64"/>
    <mergeCell ref="H65:H67"/>
    <mergeCell ref="I65:I67"/>
    <mergeCell ref="J65:J67"/>
    <mergeCell ref="K65:K67"/>
    <mergeCell ref="L65:L67"/>
    <mergeCell ref="M65:M67"/>
    <mergeCell ref="H54:H61"/>
    <mergeCell ref="I54:I61"/>
    <mergeCell ref="J54:J61"/>
    <mergeCell ref="K54:K61"/>
    <mergeCell ref="L54:L61"/>
    <mergeCell ref="M54:M61"/>
    <mergeCell ref="P41:P45"/>
    <mergeCell ref="H46:H48"/>
    <mergeCell ref="I46:I48"/>
    <mergeCell ref="J46:J48"/>
    <mergeCell ref="K46:K48"/>
    <mergeCell ref="L46:L48"/>
    <mergeCell ref="M46:M48"/>
    <mergeCell ref="H51:H53"/>
    <mergeCell ref="I51:I53"/>
    <mergeCell ref="J51:J53"/>
    <mergeCell ref="K51:K53"/>
    <mergeCell ref="L51:L53"/>
    <mergeCell ref="M51:M53"/>
    <mergeCell ref="O51:O53"/>
    <mergeCell ref="P51:P53"/>
    <mergeCell ref="O46:O48"/>
    <mergeCell ref="P46:P48"/>
    <mergeCell ref="H49:H50"/>
    <mergeCell ref="I49:I50"/>
    <mergeCell ref="J49:J50"/>
    <mergeCell ref="K49:K50"/>
    <mergeCell ref="L49:L50"/>
    <mergeCell ref="M49:M50"/>
    <mergeCell ref="O49:O50"/>
    <mergeCell ref="C40:G40"/>
    <mergeCell ref="H41:H45"/>
    <mergeCell ref="I41:I45"/>
    <mergeCell ref="J41:J45"/>
    <mergeCell ref="K41:K45"/>
    <mergeCell ref="O32:O34"/>
    <mergeCell ref="P32:P34"/>
    <mergeCell ref="H35:H37"/>
    <mergeCell ref="I35:I37"/>
    <mergeCell ref="J35:J37"/>
    <mergeCell ref="K35:K37"/>
    <mergeCell ref="L35:L37"/>
    <mergeCell ref="M35:M37"/>
    <mergeCell ref="O35:O37"/>
    <mergeCell ref="P35:P37"/>
    <mergeCell ref="H32:H34"/>
    <mergeCell ref="I32:I34"/>
    <mergeCell ref="J32:J34"/>
    <mergeCell ref="K32:K34"/>
    <mergeCell ref="L32:L34"/>
    <mergeCell ref="M32:M34"/>
    <mergeCell ref="L41:L45"/>
    <mergeCell ref="M41:M45"/>
    <mergeCell ref="O41:O45"/>
    <mergeCell ref="H29:H31"/>
    <mergeCell ref="I29:I31"/>
    <mergeCell ref="J29:J31"/>
    <mergeCell ref="K29:K31"/>
    <mergeCell ref="L29:L31"/>
    <mergeCell ref="M29:M31"/>
    <mergeCell ref="O29:O31"/>
    <mergeCell ref="P29:P31"/>
    <mergeCell ref="C38:G38"/>
    <mergeCell ref="O19:O21"/>
    <mergeCell ref="P19:P21"/>
    <mergeCell ref="C22:G22"/>
    <mergeCell ref="C25:G25"/>
    <mergeCell ref="H26:H28"/>
    <mergeCell ref="I26:I28"/>
    <mergeCell ref="J26:J28"/>
    <mergeCell ref="K26:K28"/>
    <mergeCell ref="L26:L28"/>
    <mergeCell ref="M26:M28"/>
    <mergeCell ref="H19:H21"/>
    <mergeCell ref="I19:I21"/>
    <mergeCell ref="J19:J21"/>
    <mergeCell ref="K19:K21"/>
    <mergeCell ref="L19:L21"/>
    <mergeCell ref="M19:M21"/>
    <mergeCell ref="O26:O28"/>
    <mergeCell ref="P26:P28"/>
    <mergeCell ref="C1:P1"/>
    <mergeCell ref="C15:G15"/>
    <mergeCell ref="H16:H18"/>
    <mergeCell ref="I16:I18"/>
    <mergeCell ref="J16:J18"/>
    <mergeCell ref="K16:K18"/>
    <mergeCell ref="L16:L18"/>
    <mergeCell ref="M16:M18"/>
    <mergeCell ref="O16:O18"/>
    <mergeCell ref="P16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110B-F361-4E61-8614-B948A24663F8}">
  <dimension ref="B1:I49"/>
  <sheetViews>
    <sheetView workbookViewId="0">
      <selection activeCell="G2" sqref="G2"/>
    </sheetView>
  </sheetViews>
  <sheetFormatPr defaultRowHeight="14.25" x14ac:dyDescent="0.45"/>
  <cols>
    <col min="2" max="2" width="19" customWidth="1"/>
    <col min="3" max="3" width="27.59765625" customWidth="1"/>
    <col min="4" max="4" width="13.59765625" customWidth="1"/>
    <col min="5" max="5" width="14" customWidth="1"/>
    <col min="6" max="6" width="39.1328125" customWidth="1"/>
    <col min="8" max="8" width="11.3984375" customWidth="1"/>
    <col min="9" max="9" width="16.265625" customWidth="1"/>
  </cols>
  <sheetData>
    <row r="1" spans="2:9" x14ac:dyDescent="0.45">
      <c r="G1" t="s">
        <v>264</v>
      </c>
    </row>
    <row r="2" spans="2:9" x14ac:dyDescent="0.45">
      <c r="B2" s="27" t="s">
        <v>265</v>
      </c>
      <c r="C2" s="27" t="s">
        <v>266</v>
      </c>
      <c r="D2" s="27" t="s">
        <v>267</v>
      </c>
      <c r="E2" s="27" t="s">
        <v>268</v>
      </c>
      <c r="F2" s="27" t="s">
        <v>269</v>
      </c>
      <c r="G2" s="118" t="s">
        <v>270</v>
      </c>
      <c r="H2" s="118" t="s">
        <v>271</v>
      </c>
      <c r="I2" s="27" t="s">
        <v>272</v>
      </c>
    </row>
    <row r="3" spans="2:9" x14ac:dyDescent="0.45">
      <c r="B3" s="28" t="s">
        <v>273</v>
      </c>
      <c r="C3" s="28" t="s">
        <v>166</v>
      </c>
      <c r="D3" s="28"/>
      <c r="E3" s="28"/>
      <c r="F3" s="28"/>
      <c r="G3" s="119">
        <v>2</v>
      </c>
      <c r="H3" s="120">
        <v>1990</v>
      </c>
      <c r="I3" s="45">
        <f>G3*H3</f>
        <v>3980</v>
      </c>
    </row>
    <row r="4" spans="2:9" x14ac:dyDescent="0.45">
      <c r="B4" s="28" t="s">
        <v>273</v>
      </c>
      <c r="C4" s="28" t="s">
        <v>167</v>
      </c>
      <c r="D4" s="28"/>
      <c r="E4" s="28"/>
      <c r="F4" s="30"/>
      <c r="G4" s="119">
        <v>15</v>
      </c>
      <c r="H4" s="120">
        <v>725</v>
      </c>
      <c r="I4" s="45">
        <f t="shared" ref="I4:I5" si="0">G4*H4</f>
        <v>10875</v>
      </c>
    </row>
    <row r="5" spans="2:9" x14ac:dyDescent="0.45">
      <c r="B5" s="28" t="s">
        <v>273</v>
      </c>
      <c r="C5" s="28" t="s">
        <v>168</v>
      </c>
      <c r="D5" s="28"/>
      <c r="E5" s="28"/>
      <c r="F5" s="30"/>
      <c r="G5" s="119">
        <v>5</v>
      </c>
      <c r="H5" s="120">
        <v>960</v>
      </c>
      <c r="I5" s="45">
        <f t="shared" si="0"/>
        <v>4800</v>
      </c>
    </row>
    <row r="6" spans="2:9" x14ac:dyDescent="0.45">
      <c r="B6" s="24"/>
      <c r="C6" s="24"/>
      <c r="D6" s="24"/>
      <c r="E6" s="24"/>
      <c r="F6" s="26"/>
      <c r="G6" s="121"/>
      <c r="H6" s="121"/>
      <c r="I6" s="25"/>
    </row>
    <row r="7" spans="2:9" x14ac:dyDescent="0.45">
      <c r="B7" s="27" t="s">
        <v>265</v>
      </c>
      <c r="C7" s="27" t="s">
        <v>266</v>
      </c>
      <c r="D7" s="27" t="s">
        <v>267</v>
      </c>
      <c r="E7" s="27" t="s">
        <v>268</v>
      </c>
      <c r="F7" s="27" t="s">
        <v>269</v>
      </c>
      <c r="G7" s="118" t="s">
        <v>270</v>
      </c>
      <c r="H7" s="118" t="s">
        <v>271</v>
      </c>
      <c r="I7" s="27" t="s">
        <v>272</v>
      </c>
    </row>
    <row r="8" spans="2:9" x14ac:dyDescent="0.45">
      <c r="B8" s="28" t="s">
        <v>274</v>
      </c>
      <c r="C8" s="28" t="s">
        <v>192</v>
      </c>
      <c r="D8" s="28"/>
      <c r="E8" s="28"/>
      <c r="F8" s="28"/>
      <c r="G8" s="119">
        <v>1</v>
      </c>
      <c r="H8" s="120">
        <v>1650</v>
      </c>
      <c r="I8" s="29"/>
    </row>
    <row r="9" spans="2:9" x14ac:dyDescent="0.45">
      <c r="B9" s="24"/>
      <c r="C9" s="24"/>
      <c r="D9" s="24"/>
      <c r="E9" s="24"/>
      <c r="F9" s="26"/>
      <c r="G9" s="121"/>
      <c r="H9" s="121"/>
      <c r="I9" s="25"/>
    </row>
    <row r="10" spans="2:9" x14ac:dyDescent="0.45">
      <c r="B10" s="27" t="s">
        <v>265</v>
      </c>
      <c r="C10" s="27" t="s">
        <v>266</v>
      </c>
      <c r="D10" s="27" t="s">
        <v>267</v>
      </c>
      <c r="E10" s="27" t="s">
        <v>268</v>
      </c>
      <c r="F10" s="27" t="s">
        <v>269</v>
      </c>
      <c r="G10" s="118" t="s">
        <v>270</v>
      </c>
      <c r="H10" s="118" t="s">
        <v>271</v>
      </c>
      <c r="I10" s="27" t="s">
        <v>272</v>
      </c>
    </row>
    <row r="11" spans="2:9" x14ac:dyDescent="0.45">
      <c r="B11" s="28" t="s">
        <v>275</v>
      </c>
      <c r="C11" s="28" t="s">
        <v>276</v>
      </c>
      <c r="D11" s="28"/>
      <c r="E11" s="28"/>
      <c r="F11" s="28"/>
      <c r="G11" s="119">
        <v>1</v>
      </c>
      <c r="H11" s="120">
        <v>1.46</v>
      </c>
      <c r="I11" s="29"/>
    </row>
    <row r="12" spans="2:9" x14ac:dyDescent="0.45">
      <c r="B12" s="28" t="s">
        <v>275</v>
      </c>
      <c r="C12" s="28" t="s">
        <v>277</v>
      </c>
      <c r="D12" s="28"/>
      <c r="E12" s="28"/>
      <c r="F12" s="28"/>
      <c r="G12" s="119">
        <v>1</v>
      </c>
      <c r="H12" s="120">
        <v>2.06</v>
      </c>
      <c r="I12" s="29"/>
    </row>
    <row r="13" spans="2:9" x14ac:dyDescent="0.45">
      <c r="B13" s="24"/>
      <c r="C13" s="24"/>
      <c r="D13" s="24"/>
      <c r="E13" s="24"/>
      <c r="F13" s="24"/>
      <c r="G13" s="121"/>
      <c r="H13" s="121"/>
      <c r="I13" s="25"/>
    </row>
    <row r="14" spans="2:9" x14ac:dyDescent="0.45">
      <c r="B14" s="31" t="s">
        <v>265</v>
      </c>
      <c r="C14" s="31" t="s">
        <v>266</v>
      </c>
      <c r="D14" s="31" t="s">
        <v>267</v>
      </c>
      <c r="E14" s="31" t="s">
        <v>268</v>
      </c>
      <c r="F14" s="31" t="s">
        <v>269</v>
      </c>
      <c r="G14" s="122" t="s">
        <v>270</v>
      </c>
      <c r="H14" s="122" t="s">
        <v>271</v>
      </c>
      <c r="I14" s="31" t="s">
        <v>272</v>
      </c>
    </row>
    <row r="15" spans="2:9" x14ac:dyDescent="0.45">
      <c r="B15" s="28" t="s">
        <v>278</v>
      </c>
      <c r="C15" s="28" t="s">
        <v>279</v>
      </c>
      <c r="D15" s="28"/>
      <c r="E15" s="28"/>
      <c r="F15" s="28"/>
      <c r="G15" s="119">
        <v>1</v>
      </c>
      <c r="H15" s="120">
        <v>95</v>
      </c>
      <c r="I15" s="29"/>
    </row>
    <row r="16" spans="2:9" x14ac:dyDescent="0.45">
      <c r="B16" s="28" t="s">
        <v>278</v>
      </c>
      <c r="C16" s="28" t="s">
        <v>179</v>
      </c>
      <c r="D16" s="28"/>
      <c r="E16" s="28"/>
      <c r="F16" s="28"/>
      <c r="G16" s="119">
        <v>1</v>
      </c>
      <c r="H16" s="120">
        <v>364</v>
      </c>
      <c r="I16" s="29"/>
    </row>
    <row r="17" spans="2:9" x14ac:dyDescent="0.45">
      <c r="B17" s="28" t="s">
        <v>280</v>
      </c>
      <c r="C17" s="28" t="s">
        <v>281</v>
      </c>
      <c r="D17" s="28"/>
      <c r="E17" s="28"/>
      <c r="F17" s="28"/>
      <c r="G17" s="119">
        <v>1</v>
      </c>
      <c r="H17" s="120">
        <v>3350</v>
      </c>
      <c r="I17" s="29"/>
    </row>
    <row r="18" spans="2:9" x14ac:dyDescent="0.45">
      <c r="B18" s="28" t="s">
        <v>280</v>
      </c>
      <c r="C18" s="28" t="s">
        <v>282</v>
      </c>
      <c r="D18" s="28"/>
      <c r="E18" s="28"/>
      <c r="F18" s="28"/>
      <c r="G18" s="119">
        <v>1</v>
      </c>
      <c r="H18" s="120">
        <v>823</v>
      </c>
      <c r="I18" s="29"/>
    </row>
    <row r="19" spans="2:9" x14ac:dyDescent="0.45">
      <c r="B19" s="24"/>
      <c r="C19" s="24"/>
      <c r="D19" s="24"/>
      <c r="E19" s="24"/>
      <c r="G19" s="121"/>
      <c r="H19" s="123"/>
    </row>
    <row r="20" spans="2:9" x14ac:dyDescent="0.45">
      <c r="B20" s="31" t="s">
        <v>265</v>
      </c>
      <c r="C20" s="31" t="s">
        <v>266</v>
      </c>
      <c r="D20" s="31" t="s">
        <v>267</v>
      </c>
      <c r="E20" s="31" t="s">
        <v>268</v>
      </c>
      <c r="F20" s="31" t="s">
        <v>269</v>
      </c>
      <c r="G20" s="122" t="s">
        <v>270</v>
      </c>
      <c r="H20" s="122" t="s">
        <v>271</v>
      </c>
      <c r="I20" s="31" t="s">
        <v>272</v>
      </c>
    </row>
    <row r="21" spans="2:9" x14ac:dyDescent="0.45">
      <c r="B21" s="28" t="s">
        <v>283</v>
      </c>
      <c r="C21" s="28" t="s">
        <v>284</v>
      </c>
      <c r="D21" s="28"/>
      <c r="E21" s="28"/>
      <c r="F21" s="28"/>
      <c r="G21" s="119">
        <v>1</v>
      </c>
      <c r="H21" s="120">
        <v>1.07</v>
      </c>
      <c r="I21" s="29"/>
    </row>
    <row r="22" spans="2:9" x14ac:dyDescent="0.45">
      <c r="B22" s="28" t="s">
        <v>283</v>
      </c>
      <c r="C22" s="28" t="s">
        <v>285</v>
      </c>
      <c r="D22" s="28"/>
      <c r="E22" s="28"/>
      <c r="F22" s="28"/>
      <c r="G22" s="119">
        <v>1</v>
      </c>
      <c r="H22" s="120">
        <v>1.95</v>
      </c>
      <c r="I22" s="29"/>
    </row>
    <row r="23" spans="2:9" x14ac:dyDescent="0.45">
      <c r="B23" s="28" t="s">
        <v>283</v>
      </c>
      <c r="C23" s="28" t="s">
        <v>286</v>
      </c>
      <c r="D23" s="28"/>
      <c r="E23" s="28"/>
      <c r="F23" s="28"/>
      <c r="G23" s="119">
        <v>1</v>
      </c>
      <c r="H23" s="120">
        <v>1</v>
      </c>
      <c r="I23" s="29"/>
    </row>
    <row r="24" spans="2:9" x14ac:dyDescent="0.45">
      <c r="B24" s="28" t="s">
        <v>283</v>
      </c>
      <c r="C24" s="28" t="s">
        <v>287</v>
      </c>
      <c r="D24" s="28"/>
      <c r="E24" s="28"/>
      <c r="F24" s="28"/>
      <c r="G24" s="119">
        <v>1</v>
      </c>
      <c r="H24" s="120">
        <v>40</v>
      </c>
      <c r="I24" s="29"/>
    </row>
    <row r="25" spans="2:9" x14ac:dyDescent="0.45">
      <c r="B25" s="28" t="s">
        <v>283</v>
      </c>
      <c r="C25" s="28" t="s">
        <v>288</v>
      </c>
      <c r="D25" s="28"/>
      <c r="E25" s="28"/>
      <c r="F25" s="28"/>
      <c r="G25" s="119">
        <v>1</v>
      </c>
      <c r="H25" s="120">
        <v>3</v>
      </c>
      <c r="I25" s="29"/>
    </row>
    <row r="26" spans="2:9" x14ac:dyDescent="0.45">
      <c r="G26" s="123"/>
      <c r="H26" s="123"/>
    </row>
    <row r="27" spans="2:9" x14ac:dyDescent="0.45">
      <c r="B27" s="31" t="s">
        <v>265</v>
      </c>
      <c r="C27" s="31" t="s">
        <v>266</v>
      </c>
      <c r="D27" s="31" t="s">
        <v>267</v>
      </c>
      <c r="E27" s="31" t="s">
        <v>268</v>
      </c>
      <c r="F27" s="31" t="s">
        <v>269</v>
      </c>
      <c r="G27" s="122" t="s">
        <v>270</v>
      </c>
      <c r="H27" s="122" t="s">
        <v>271</v>
      </c>
      <c r="I27" s="31" t="s">
        <v>272</v>
      </c>
    </row>
    <row r="28" spans="2:9" x14ac:dyDescent="0.45">
      <c r="B28" s="28" t="s">
        <v>289</v>
      </c>
      <c r="C28" s="28" t="s">
        <v>290</v>
      </c>
      <c r="D28" s="28"/>
      <c r="E28" s="28"/>
      <c r="F28" s="28"/>
      <c r="G28" s="119">
        <v>1</v>
      </c>
      <c r="H28" s="120">
        <v>0.85</v>
      </c>
      <c r="I28" s="29"/>
    </row>
    <row r="29" spans="2:9" x14ac:dyDescent="0.45">
      <c r="B29" s="28" t="s">
        <v>289</v>
      </c>
      <c r="C29" s="28" t="s">
        <v>291</v>
      </c>
      <c r="D29" s="28"/>
      <c r="E29" s="28"/>
      <c r="F29" s="28"/>
      <c r="G29" s="119">
        <v>1</v>
      </c>
      <c r="H29" s="120">
        <v>1.1000000000000001</v>
      </c>
      <c r="I29" s="29"/>
    </row>
    <row r="30" spans="2:9" x14ac:dyDescent="0.45">
      <c r="B30" s="28" t="s">
        <v>289</v>
      </c>
      <c r="C30" s="28" t="s">
        <v>292</v>
      </c>
      <c r="D30" s="28"/>
      <c r="E30" s="28"/>
      <c r="F30" s="28"/>
      <c r="G30" s="119">
        <v>1</v>
      </c>
      <c r="H30" s="120">
        <v>2.5</v>
      </c>
      <c r="I30" s="29"/>
    </row>
    <row r="31" spans="2:9" x14ac:dyDescent="0.45">
      <c r="B31" s="28" t="s">
        <v>289</v>
      </c>
      <c r="C31" s="28" t="s">
        <v>293</v>
      </c>
      <c r="D31" s="28"/>
      <c r="E31" s="28"/>
      <c r="F31" s="28"/>
      <c r="G31" s="119">
        <v>1</v>
      </c>
      <c r="H31" s="120">
        <v>5.5</v>
      </c>
      <c r="I31" s="29"/>
    </row>
    <row r="32" spans="2:9" x14ac:dyDescent="0.45">
      <c r="B32" s="28" t="s">
        <v>289</v>
      </c>
      <c r="C32" s="28" t="s">
        <v>294</v>
      </c>
      <c r="D32" s="28"/>
      <c r="E32" s="28"/>
      <c r="F32" s="28"/>
      <c r="G32" s="119">
        <v>1</v>
      </c>
      <c r="H32" s="120">
        <v>11.75</v>
      </c>
      <c r="I32" s="29"/>
    </row>
    <row r="33" spans="2:9" x14ac:dyDescent="0.45">
      <c r="B33" s="28" t="s">
        <v>289</v>
      </c>
      <c r="C33" s="28" t="s">
        <v>295</v>
      </c>
      <c r="D33" s="28"/>
      <c r="E33" s="28"/>
      <c r="F33" s="28"/>
      <c r="G33" s="119">
        <v>1</v>
      </c>
      <c r="H33" s="120">
        <v>13.5</v>
      </c>
      <c r="I33" s="29"/>
    </row>
    <row r="34" spans="2:9" x14ac:dyDescent="0.45">
      <c r="G34" s="123"/>
      <c r="H34" s="123"/>
    </row>
    <row r="35" spans="2:9" x14ac:dyDescent="0.45">
      <c r="B35" s="32" t="s">
        <v>265</v>
      </c>
      <c r="C35" s="32" t="s">
        <v>266</v>
      </c>
      <c r="D35" s="32" t="s">
        <v>267</v>
      </c>
      <c r="E35" s="32" t="s">
        <v>268</v>
      </c>
      <c r="F35" s="32" t="s">
        <v>269</v>
      </c>
      <c r="G35" s="124" t="s">
        <v>270</v>
      </c>
      <c r="H35" s="124" t="s">
        <v>271</v>
      </c>
      <c r="I35" s="32" t="s">
        <v>272</v>
      </c>
    </row>
    <row r="36" spans="2:9" x14ac:dyDescent="0.45">
      <c r="B36" s="28" t="s">
        <v>296</v>
      </c>
      <c r="C36" s="28" t="s">
        <v>297</v>
      </c>
      <c r="D36" s="28"/>
      <c r="E36" s="28"/>
      <c r="F36" s="28"/>
      <c r="G36" s="119">
        <v>1</v>
      </c>
      <c r="H36" s="120">
        <v>0.45</v>
      </c>
      <c r="I36" s="29"/>
    </row>
    <row r="37" spans="2:9" x14ac:dyDescent="0.45">
      <c r="B37" s="28" t="s">
        <v>296</v>
      </c>
      <c r="C37" s="28" t="s">
        <v>298</v>
      </c>
      <c r="D37" s="28"/>
      <c r="E37" s="28"/>
      <c r="F37" s="28"/>
      <c r="G37" s="119">
        <v>1</v>
      </c>
      <c r="H37" s="120">
        <v>0.7</v>
      </c>
      <c r="I37" s="29"/>
    </row>
    <row r="38" spans="2:9" x14ac:dyDescent="0.45">
      <c r="G38" s="123"/>
      <c r="H38" s="123"/>
    </row>
    <row r="39" spans="2:9" x14ac:dyDescent="0.45">
      <c r="B39" s="33" t="s">
        <v>265</v>
      </c>
      <c r="C39" s="33" t="s">
        <v>266</v>
      </c>
      <c r="D39" s="33" t="s">
        <v>267</v>
      </c>
      <c r="E39" s="33" t="s">
        <v>268</v>
      </c>
      <c r="F39" s="33" t="s">
        <v>269</v>
      </c>
      <c r="G39" s="125" t="s">
        <v>270</v>
      </c>
      <c r="H39" s="125" t="s">
        <v>271</v>
      </c>
      <c r="I39" s="33" t="s">
        <v>272</v>
      </c>
    </row>
    <row r="40" spans="2:9" x14ac:dyDescent="0.45">
      <c r="B40" s="28" t="s">
        <v>299</v>
      </c>
      <c r="C40" s="28" t="s">
        <v>300</v>
      </c>
      <c r="D40" s="28"/>
      <c r="E40" s="28"/>
      <c r="F40" s="28"/>
      <c r="G40" s="119">
        <v>1</v>
      </c>
      <c r="H40" s="120">
        <v>4.5</v>
      </c>
      <c r="I40" s="29"/>
    </row>
    <row r="41" spans="2:9" x14ac:dyDescent="0.45">
      <c r="B41" s="28" t="s">
        <v>299</v>
      </c>
      <c r="C41" s="28" t="s">
        <v>301</v>
      </c>
      <c r="D41" s="28"/>
      <c r="E41" s="28"/>
      <c r="F41" s="28"/>
      <c r="G41" s="119">
        <v>1</v>
      </c>
      <c r="H41" s="120">
        <v>8.41</v>
      </c>
      <c r="I41" s="29"/>
    </row>
    <row r="42" spans="2:9" x14ac:dyDescent="0.45">
      <c r="B42" s="28" t="s">
        <v>299</v>
      </c>
      <c r="C42" s="28" t="s">
        <v>302</v>
      </c>
      <c r="D42" s="28"/>
      <c r="E42" s="28"/>
      <c r="F42" s="28"/>
      <c r="G42" s="119">
        <v>1</v>
      </c>
      <c r="H42" s="120">
        <v>2</v>
      </c>
      <c r="I42" s="29"/>
    </row>
    <row r="43" spans="2:9" x14ac:dyDescent="0.45">
      <c r="G43" s="123"/>
      <c r="H43" s="123"/>
    </row>
    <row r="44" spans="2:9" x14ac:dyDescent="0.45">
      <c r="B44" s="111" t="s">
        <v>265</v>
      </c>
      <c r="C44" s="111" t="s">
        <v>266</v>
      </c>
      <c r="D44" s="111" t="s">
        <v>267</v>
      </c>
      <c r="E44" s="111" t="s">
        <v>268</v>
      </c>
      <c r="F44" s="111" t="s">
        <v>269</v>
      </c>
      <c r="G44" s="126" t="s">
        <v>270</v>
      </c>
      <c r="H44" s="126" t="s">
        <v>271</v>
      </c>
      <c r="I44" s="111" t="s">
        <v>272</v>
      </c>
    </row>
    <row r="45" spans="2:9" x14ac:dyDescent="0.45">
      <c r="B45" s="28" t="s">
        <v>303</v>
      </c>
      <c r="C45" s="28" t="s">
        <v>304</v>
      </c>
      <c r="D45" s="28"/>
      <c r="E45" s="28"/>
      <c r="F45" s="28"/>
      <c r="G45" s="119">
        <v>1</v>
      </c>
      <c r="H45" s="120">
        <v>2199</v>
      </c>
      <c r="I45" s="29"/>
    </row>
    <row r="46" spans="2:9" x14ac:dyDescent="0.45">
      <c r="B46" s="28" t="s">
        <v>303</v>
      </c>
      <c r="C46" s="28" t="s">
        <v>305</v>
      </c>
      <c r="D46" s="28"/>
      <c r="E46" s="28"/>
      <c r="F46" s="28"/>
      <c r="G46" s="119">
        <v>1</v>
      </c>
      <c r="H46" s="120">
        <v>899</v>
      </c>
      <c r="I46" s="29"/>
    </row>
    <row r="47" spans="2:9" x14ac:dyDescent="0.45">
      <c r="B47" s="28" t="s">
        <v>303</v>
      </c>
      <c r="C47" s="28" t="s">
        <v>306</v>
      </c>
      <c r="D47" s="28"/>
      <c r="E47" s="28"/>
      <c r="F47" s="28"/>
      <c r="G47" s="119">
        <v>1</v>
      </c>
      <c r="H47" s="120">
        <v>1385</v>
      </c>
      <c r="I47" s="29"/>
    </row>
    <row r="48" spans="2:9" x14ac:dyDescent="0.45">
      <c r="B48" s="28" t="s">
        <v>303</v>
      </c>
      <c r="C48" s="28" t="s">
        <v>307</v>
      </c>
      <c r="D48" s="28"/>
      <c r="E48" s="28"/>
      <c r="F48" s="28"/>
      <c r="G48" s="119">
        <v>1</v>
      </c>
      <c r="H48" s="120">
        <v>1385</v>
      </c>
      <c r="I48" s="29"/>
    </row>
    <row r="49" spans="2:9" x14ac:dyDescent="0.45">
      <c r="B49" s="28" t="s">
        <v>303</v>
      </c>
      <c r="C49" s="28" t="s">
        <v>308</v>
      </c>
      <c r="D49" s="28"/>
      <c r="E49" s="28"/>
      <c r="F49" s="28" t="s">
        <v>309</v>
      </c>
      <c r="G49" s="119">
        <v>1</v>
      </c>
      <c r="H49" s="120">
        <v>5.75</v>
      </c>
      <c r="I49" s="29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BC54-6684-4871-B54C-CD6BAD566D82}">
  <dimension ref="C2:N62"/>
  <sheetViews>
    <sheetView zoomScale="62" zoomScaleNormal="70" workbookViewId="0">
      <selection activeCell="M38" sqref="F18:M38"/>
    </sheetView>
  </sheetViews>
  <sheetFormatPr defaultRowHeight="15" customHeight="1" x14ac:dyDescent="0.45"/>
  <cols>
    <col min="2" max="2" width="5.59765625" customWidth="1"/>
    <col min="3" max="3" width="26.73046875" customWidth="1"/>
    <col min="4" max="4" width="28.86328125" customWidth="1"/>
    <col min="5" max="5" width="71.59765625" customWidth="1"/>
    <col min="6" max="6" width="14.73046875" customWidth="1"/>
    <col min="7" max="7" width="13.86328125" customWidth="1"/>
    <col min="8" max="8" width="15" customWidth="1"/>
    <col min="9" max="9" width="12.3984375" customWidth="1"/>
    <col min="10" max="10" width="12.1328125" customWidth="1"/>
    <col min="11" max="11" width="14.59765625" customWidth="1"/>
    <col min="12" max="12" width="19.59765625" customWidth="1"/>
    <col min="13" max="13" width="17.59765625" customWidth="1"/>
    <col min="14" max="14" width="39.59765625" customWidth="1"/>
  </cols>
  <sheetData>
    <row r="2" spans="3:14" ht="15" customHeight="1" x14ac:dyDescent="0.45">
      <c r="C2" s="19" t="s">
        <v>102</v>
      </c>
    </row>
    <row r="3" spans="3:14" ht="15" customHeight="1" x14ac:dyDescent="0.45">
      <c r="C3" s="20" t="s">
        <v>104</v>
      </c>
      <c r="D3" s="40">
        <v>207</v>
      </c>
      <c r="E3" t="s">
        <v>105</v>
      </c>
    </row>
    <row r="4" spans="3:14" ht="15" customHeight="1" x14ac:dyDescent="0.45">
      <c r="C4" s="20" t="s">
        <v>108</v>
      </c>
      <c r="D4" s="40">
        <v>72</v>
      </c>
      <c r="E4" t="s">
        <v>105</v>
      </c>
    </row>
    <row r="5" spans="3:14" ht="15" customHeight="1" x14ac:dyDescent="0.45">
      <c r="C5" s="20" t="s">
        <v>310</v>
      </c>
      <c r="D5" s="40">
        <v>45</v>
      </c>
      <c r="E5" t="s">
        <v>105</v>
      </c>
    </row>
    <row r="6" spans="3:14" ht="15" customHeight="1" x14ac:dyDescent="0.45">
      <c r="C6" s="20" t="s">
        <v>116</v>
      </c>
      <c r="D6" s="40">
        <v>225</v>
      </c>
      <c r="E6" t="s">
        <v>117</v>
      </c>
    </row>
    <row r="7" spans="3:14" ht="15" customHeight="1" x14ac:dyDescent="0.45">
      <c r="C7" s="20" t="s">
        <v>113</v>
      </c>
      <c r="D7" s="40">
        <v>31</v>
      </c>
      <c r="E7" t="s">
        <v>114</v>
      </c>
    </row>
    <row r="8" spans="3:14" ht="15" customHeight="1" x14ac:dyDescent="0.45">
      <c r="C8" s="20" t="s">
        <v>115</v>
      </c>
      <c r="D8" s="40">
        <v>13</v>
      </c>
      <c r="E8" t="s">
        <v>114</v>
      </c>
    </row>
    <row r="9" spans="3:14" ht="15" customHeight="1" x14ac:dyDescent="0.45">
      <c r="C9" s="20" t="s">
        <v>106</v>
      </c>
      <c r="D9" s="40">
        <v>18</v>
      </c>
      <c r="E9" t="s">
        <v>114</v>
      </c>
    </row>
    <row r="10" spans="3:14" ht="15" customHeight="1" x14ac:dyDescent="0.45">
      <c r="C10" s="20" t="s">
        <v>160</v>
      </c>
      <c r="D10" s="42">
        <v>1.5</v>
      </c>
      <c r="E10" t="s">
        <v>114</v>
      </c>
    </row>
    <row r="11" spans="3:14" ht="15" customHeight="1" thickBot="1" x14ac:dyDescent="0.5"/>
    <row r="12" spans="3:14" ht="15" customHeight="1" x14ac:dyDescent="0.55000000000000004">
      <c r="C12" s="170" t="s">
        <v>99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2"/>
    </row>
    <row r="13" spans="3:14" ht="15" customHeight="1" x14ac:dyDescent="0.45">
      <c r="C13" s="173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5"/>
    </row>
    <row r="14" spans="3:14" ht="15" customHeight="1" x14ac:dyDescent="0.45"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3:14" ht="15" customHeight="1" x14ac:dyDescent="0.45">
      <c r="C15" s="7"/>
      <c r="N15" s="8"/>
    </row>
    <row r="16" spans="3:14" ht="15" customHeight="1" x14ac:dyDescent="0.55000000000000004">
      <c r="C16" s="7"/>
      <c r="F16" s="176" t="s">
        <v>311</v>
      </c>
      <c r="G16" s="176"/>
      <c r="H16" s="176"/>
      <c r="I16" s="176"/>
      <c r="J16" s="176" t="s">
        <v>312</v>
      </c>
      <c r="K16" s="176"/>
      <c r="L16" s="176" t="s">
        <v>313</v>
      </c>
      <c r="M16" s="176"/>
      <c r="N16" s="8"/>
    </row>
    <row r="17" spans="3:14" ht="15" customHeight="1" x14ac:dyDescent="0.45">
      <c r="C17" s="177" t="s">
        <v>314</v>
      </c>
      <c r="D17" s="178"/>
      <c r="E17" s="178"/>
      <c r="F17" s="2" t="s">
        <v>315</v>
      </c>
      <c r="G17" s="2" t="s">
        <v>316</v>
      </c>
      <c r="H17" s="2" t="s">
        <v>315</v>
      </c>
      <c r="I17" s="2" t="s">
        <v>317</v>
      </c>
      <c r="J17" s="2" t="s">
        <v>316</v>
      </c>
      <c r="K17" s="2" t="s">
        <v>317</v>
      </c>
      <c r="L17" s="2" t="s">
        <v>316</v>
      </c>
      <c r="M17" s="2" t="s">
        <v>317</v>
      </c>
      <c r="N17" s="3"/>
    </row>
    <row r="18" spans="3:14" ht="15" customHeight="1" x14ac:dyDescent="0.45">
      <c r="C18" s="160" t="s">
        <v>318</v>
      </c>
      <c r="D18" s="161"/>
      <c r="E18" s="161"/>
      <c r="F18" s="10"/>
      <c r="G18" s="10"/>
      <c r="H18" s="11"/>
      <c r="I18" s="11"/>
      <c r="J18" s="11"/>
      <c r="K18" s="11"/>
      <c r="L18" s="11"/>
      <c r="M18" s="11"/>
      <c r="N18" s="12" t="s">
        <v>319</v>
      </c>
    </row>
    <row r="19" spans="3:14" ht="15" customHeight="1" x14ac:dyDescent="0.45">
      <c r="C19" s="1"/>
      <c r="D19" s="22" t="s">
        <v>129</v>
      </c>
      <c r="E19" s="21" t="s">
        <v>130</v>
      </c>
      <c r="F19" s="16"/>
      <c r="G19" s="37"/>
      <c r="H19" s="34"/>
      <c r="I19" s="15"/>
      <c r="J19" s="15"/>
      <c r="K19" s="15"/>
      <c r="L19" s="15"/>
      <c r="M19" s="15"/>
      <c r="N19" s="162"/>
    </row>
    <row r="20" spans="3:14" ht="15" customHeight="1" x14ac:dyDescent="0.45">
      <c r="C20" s="1"/>
      <c r="D20" s="22" t="s">
        <v>131</v>
      </c>
      <c r="E20" s="21" t="s">
        <v>132</v>
      </c>
      <c r="F20" s="16"/>
      <c r="G20" s="37"/>
      <c r="H20" s="34"/>
      <c r="I20" s="15"/>
      <c r="J20" s="15"/>
      <c r="K20" s="15"/>
      <c r="L20" s="15"/>
      <c r="M20" s="15"/>
      <c r="N20" s="163"/>
    </row>
    <row r="21" spans="3:14" ht="15" customHeight="1" thickBot="1" x14ac:dyDescent="0.5">
      <c r="C21" s="165" t="s">
        <v>133</v>
      </c>
      <c r="D21" s="166"/>
      <c r="E21" s="167"/>
      <c r="F21" s="18"/>
      <c r="G21" s="38"/>
      <c r="H21" s="35"/>
      <c r="I21" s="18"/>
      <c r="J21" s="18"/>
      <c r="K21" s="18"/>
      <c r="L21" s="41"/>
      <c r="M21" s="41"/>
      <c r="N21" s="164"/>
    </row>
    <row r="22" spans="3:14" ht="15" customHeight="1" thickTop="1" x14ac:dyDescent="0.45">
      <c r="C22" s="168" t="s">
        <v>320</v>
      </c>
      <c r="D22" s="169"/>
      <c r="E22" s="169"/>
      <c r="F22" s="13"/>
      <c r="G22" s="39"/>
      <c r="H22" s="36"/>
      <c r="I22" s="13"/>
      <c r="J22" s="13"/>
      <c r="K22" s="13"/>
      <c r="L22" s="13"/>
      <c r="M22" s="13"/>
      <c r="N22" s="12" t="s">
        <v>319</v>
      </c>
    </row>
    <row r="23" spans="3:14" ht="15" customHeight="1" x14ac:dyDescent="0.45">
      <c r="C23" s="1"/>
      <c r="D23" s="22" t="s">
        <v>136</v>
      </c>
      <c r="E23" s="21" t="s">
        <v>137</v>
      </c>
      <c r="F23" s="16"/>
      <c r="G23" s="37"/>
      <c r="H23" s="34"/>
      <c r="I23" s="15"/>
      <c r="J23" s="15"/>
      <c r="K23" s="15"/>
      <c r="L23" s="15"/>
      <c r="M23" s="15"/>
      <c r="N23" s="162"/>
    </row>
    <row r="24" spans="3:14" ht="15" customHeight="1" x14ac:dyDescent="0.45">
      <c r="C24" s="1"/>
      <c r="D24" s="22" t="s">
        <v>138</v>
      </c>
      <c r="E24" s="21" t="s">
        <v>139</v>
      </c>
      <c r="F24" s="16"/>
      <c r="G24" s="37"/>
      <c r="H24" s="34"/>
      <c r="I24" s="15"/>
      <c r="J24" s="15"/>
      <c r="K24" s="15"/>
      <c r="L24" s="15"/>
      <c r="M24" s="15"/>
      <c r="N24" s="163"/>
    </row>
    <row r="25" spans="3:14" ht="15" customHeight="1" x14ac:dyDescent="0.45">
      <c r="C25" s="1"/>
      <c r="D25" s="22" t="s">
        <v>140</v>
      </c>
      <c r="E25" s="21" t="s">
        <v>141</v>
      </c>
      <c r="F25" s="16"/>
      <c r="G25" s="37"/>
      <c r="H25" s="34"/>
      <c r="I25" s="15"/>
      <c r="J25" s="15"/>
      <c r="K25" s="15"/>
      <c r="L25" s="15"/>
      <c r="M25" s="15"/>
      <c r="N25" s="163"/>
    </row>
    <row r="26" spans="3:14" ht="15" customHeight="1" x14ac:dyDescent="0.45">
      <c r="C26" s="14"/>
      <c r="D26" s="22" t="s">
        <v>321</v>
      </c>
      <c r="E26" s="21" t="s">
        <v>322</v>
      </c>
      <c r="F26" s="16"/>
      <c r="G26" s="37"/>
      <c r="H26" s="34"/>
      <c r="I26" s="15"/>
      <c r="J26" s="15"/>
      <c r="K26" s="15"/>
      <c r="L26" s="15"/>
      <c r="M26" s="15"/>
      <c r="N26" s="163"/>
    </row>
    <row r="27" spans="3:14" ht="15" customHeight="1" x14ac:dyDescent="0.45">
      <c r="C27" s="14"/>
      <c r="D27" s="22" t="s">
        <v>142</v>
      </c>
      <c r="E27" s="21" t="s">
        <v>143</v>
      </c>
      <c r="F27" s="16"/>
      <c r="G27" s="37"/>
      <c r="H27" s="34"/>
      <c r="I27" s="15"/>
      <c r="J27" s="15"/>
      <c r="K27" s="15"/>
      <c r="L27" s="15"/>
      <c r="M27" s="15"/>
      <c r="N27" s="163"/>
    </row>
    <row r="28" spans="3:14" ht="15" customHeight="1" thickBot="1" x14ac:dyDescent="0.5">
      <c r="C28" s="165" t="s">
        <v>133</v>
      </c>
      <c r="D28" s="166"/>
      <c r="E28" s="167"/>
      <c r="F28" s="18"/>
      <c r="G28" s="38"/>
      <c r="H28" s="35"/>
      <c r="I28" s="18"/>
      <c r="J28" s="18"/>
      <c r="K28" s="18"/>
      <c r="L28" s="41"/>
      <c r="M28" s="41"/>
      <c r="N28" s="164"/>
    </row>
    <row r="29" spans="3:14" ht="15" customHeight="1" thickTop="1" x14ac:dyDescent="0.45">
      <c r="C29" s="168" t="s">
        <v>323</v>
      </c>
      <c r="D29" s="169"/>
      <c r="E29" s="169"/>
      <c r="F29" s="13"/>
      <c r="G29" s="39"/>
      <c r="H29" s="36"/>
      <c r="I29" s="13"/>
      <c r="J29" s="13"/>
      <c r="K29" s="13"/>
      <c r="L29" s="13"/>
      <c r="M29" s="13"/>
      <c r="N29" s="12" t="s">
        <v>319</v>
      </c>
    </row>
    <row r="30" spans="3:14" ht="15" customHeight="1" x14ac:dyDescent="0.45">
      <c r="C30" s="1"/>
      <c r="D30" s="22" t="s">
        <v>324</v>
      </c>
      <c r="E30" s="21" t="s">
        <v>325</v>
      </c>
      <c r="F30" s="16"/>
      <c r="G30" s="37"/>
      <c r="H30" s="34"/>
      <c r="I30" s="15"/>
      <c r="J30" s="15"/>
      <c r="K30" s="15"/>
      <c r="L30" s="15"/>
      <c r="M30" s="15"/>
      <c r="N30" s="162"/>
    </row>
    <row r="31" spans="3:14" ht="15" customHeight="1" x14ac:dyDescent="0.45">
      <c r="C31" s="1"/>
      <c r="D31" s="22" t="s">
        <v>106</v>
      </c>
      <c r="E31" s="21" t="s">
        <v>145</v>
      </c>
      <c r="F31" s="16"/>
      <c r="G31" s="37"/>
      <c r="H31" s="34"/>
      <c r="I31" s="15"/>
      <c r="J31" s="15"/>
      <c r="K31" s="15"/>
      <c r="L31" s="15"/>
      <c r="M31" s="15"/>
      <c r="N31" s="163"/>
    </row>
    <row r="32" spans="3:14" ht="15" customHeight="1" x14ac:dyDescent="0.45">
      <c r="C32" s="1"/>
      <c r="D32" s="22" t="s">
        <v>152</v>
      </c>
      <c r="E32" s="21" t="s">
        <v>153</v>
      </c>
      <c r="F32" s="16"/>
      <c r="G32" s="37"/>
      <c r="H32" s="34"/>
      <c r="I32" s="15"/>
      <c r="J32" s="15"/>
      <c r="K32" s="15"/>
      <c r="L32" s="15"/>
      <c r="M32" s="15"/>
      <c r="N32" s="163"/>
    </row>
    <row r="33" spans="3:14" ht="15" customHeight="1" x14ac:dyDescent="0.45">
      <c r="C33" s="1"/>
      <c r="D33" s="22" t="s">
        <v>326</v>
      </c>
      <c r="E33" s="21" t="s">
        <v>327</v>
      </c>
      <c r="F33" s="16"/>
      <c r="G33" s="37"/>
      <c r="H33" s="34"/>
      <c r="I33" s="15"/>
      <c r="J33" s="15"/>
      <c r="K33" s="15"/>
      <c r="L33" s="15"/>
      <c r="M33" s="15"/>
      <c r="N33" s="163"/>
    </row>
    <row r="34" spans="3:14" ht="15" customHeight="1" x14ac:dyDescent="0.45">
      <c r="C34" s="1"/>
      <c r="D34" s="22" t="s">
        <v>328</v>
      </c>
      <c r="E34" s="21" t="s">
        <v>329</v>
      </c>
      <c r="F34" s="16"/>
      <c r="G34" s="37"/>
      <c r="H34" s="34"/>
      <c r="I34" s="15"/>
      <c r="J34" s="15"/>
      <c r="K34" s="15"/>
      <c r="L34" s="15"/>
      <c r="M34" s="15"/>
      <c r="N34" s="163"/>
    </row>
    <row r="35" spans="3:14" ht="15" customHeight="1" x14ac:dyDescent="0.45">
      <c r="C35" s="1"/>
      <c r="D35" s="22" t="s">
        <v>156</v>
      </c>
      <c r="E35" s="21" t="s">
        <v>157</v>
      </c>
      <c r="F35" s="16"/>
      <c r="G35" s="37"/>
      <c r="H35" s="34"/>
      <c r="I35" s="15"/>
      <c r="J35" s="15"/>
      <c r="K35" s="15"/>
      <c r="L35" s="15"/>
      <c r="M35" s="15"/>
      <c r="N35" s="163"/>
    </row>
    <row r="36" spans="3:14" ht="15" customHeight="1" x14ac:dyDescent="0.45">
      <c r="C36" s="1"/>
      <c r="D36" s="22" t="s">
        <v>160</v>
      </c>
      <c r="E36" s="21" t="s">
        <v>161</v>
      </c>
      <c r="F36" s="16"/>
      <c r="G36" s="37"/>
      <c r="H36" s="34"/>
      <c r="I36" s="15"/>
      <c r="J36" s="15"/>
      <c r="K36" s="15"/>
      <c r="L36" s="15"/>
      <c r="M36" s="15"/>
      <c r="N36" s="163"/>
    </row>
    <row r="37" spans="3:14" ht="15" customHeight="1" x14ac:dyDescent="0.45">
      <c r="C37" s="1"/>
      <c r="D37" s="43" t="s">
        <v>164</v>
      </c>
      <c r="E37" s="44" t="s">
        <v>165</v>
      </c>
      <c r="F37" s="16"/>
      <c r="G37" s="37"/>
      <c r="H37" s="34"/>
      <c r="I37" s="15"/>
      <c r="J37" s="15"/>
      <c r="K37" s="15"/>
      <c r="L37" s="15"/>
      <c r="M37" s="15"/>
      <c r="N37" s="163"/>
    </row>
    <row r="38" spans="3:14" ht="15" customHeight="1" thickBot="1" x14ac:dyDescent="0.5">
      <c r="C38" s="165" t="s">
        <v>133</v>
      </c>
      <c r="D38" s="166"/>
      <c r="E38" s="167"/>
      <c r="F38" s="46"/>
      <c r="G38" s="46"/>
      <c r="H38" s="46"/>
      <c r="I38" s="46"/>
      <c r="J38" s="46"/>
      <c r="K38" s="46"/>
      <c r="L38" s="41"/>
      <c r="M38" s="41"/>
      <c r="N38" s="164"/>
    </row>
    <row r="39" spans="3:14" ht="15" customHeight="1" thickTop="1" x14ac:dyDescent="0.45">
      <c r="C39" s="168" t="s">
        <v>330</v>
      </c>
      <c r="D39" s="169"/>
      <c r="E39" s="169"/>
      <c r="F39" s="13"/>
      <c r="G39" s="39"/>
      <c r="H39" s="36"/>
      <c r="I39" s="13"/>
      <c r="J39" s="13"/>
      <c r="K39" s="13"/>
      <c r="L39" s="13"/>
      <c r="M39" s="13"/>
      <c r="N39" s="12" t="s">
        <v>319</v>
      </c>
    </row>
    <row r="40" spans="3:14" ht="15" customHeight="1" x14ac:dyDescent="0.45">
      <c r="C40" s="1"/>
      <c r="D40" s="23" t="s">
        <v>170</v>
      </c>
      <c r="E40" s="21" t="s">
        <v>171</v>
      </c>
      <c r="F40" s="15"/>
      <c r="G40" s="15"/>
      <c r="H40" s="34"/>
      <c r="I40" s="15"/>
      <c r="J40" s="15"/>
      <c r="K40" s="15"/>
      <c r="L40" s="15"/>
      <c r="M40" s="15"/>
      <c r="N40" s="162"/>
    </row>
    <row r="41" spans="3:14" ht="15" customHeight="1" x14ac:dyDescent="0.45">
      <c r="C41" s="1"/>
      <c r="D41" s="22" t="s">
        <v>106</v>
      </c>
      <c r="E41" s="21" t="s">
        <v>145</v>
      </c>
      <c r="F41" s="15"/>
      <c r="G41" s="15"/>
      <c r="H41" s="34"/>
      <c r="I41" s="15"/>
      <c r="J41" s="15"/>
      <c r="K41" s="15"/>
      <c r="L41" s="15"/>
      <c r="M41" s="15"/>
      <c r="N41" s="163"/>
    </row>
    <row r="42" spans="3:14" ht="15" customHeight="1" x14ac:dyDescent="0.45">
      <c r="C42" s="1"/>
      <c r="D42" s="22" t="s">
        <v>331</v>
      </c>
      <c r="E42" s="21" t="s">
        <v>332</v>
      </c>
      <c r="F42" s="15"/>
      <c r="G42" s="15"/>
      <c r="H42" s="34"/>
      <c r="I42" s="15"/>
      <c r="J42" s="15"/>
      <c r="K42" s="15"/>
      <c r="L42" s="15"/>
      <c r="M42" s="15"/>
      <c r="N42" s="163"/>
    </row>
    <row r="43" spans="3:14" ht="15" customHeight="1" x14ac:dyDescent="0.45">
      <c r="C43" s="1"/>
      <c r="D43" s="22" t="s">
        <v>333</v>
      </c>
      <c r="E43" s="21" t="s">
        <v>334</v>
      </c>
      <c r="F43" s="15"/>
      <c r="G43" s="15"/>
      <c r="H43" s="34"/>
      <c r="I43" s="15"/>
      <c r="J43" s="15"/>
      <c r="K43" s="15"/>
      <c r="L43" s="15"/>
      <c r="M43" s="15"/>
      <c r="N43" s="163"/>
    </row>
    <row r="44" spans="3:14" ht="15" customHeight="1" x14ac:dyDescent="0.45">
      <c r="C44" s="1"/>
      <c r="D44" s="22" t="s">
        <v>335</v>
      </c>
      <c r="E44" s="21" t="s">
        <v>336</v>
      </c>
      <c r="F44" s="15"/>
      <c r="G44" s="15"/>
      <c r="H44" s="34"/>
      <c r="I44" s="15"/>
      <c r="J44" s="15"/>
      <c r="K44" s="15"/>
      <c r="L44" s="15"/>
      <c r="M44" s="15"/>
      <c r="N44" s="163"/>
    </row>
    <row r="45" spans="3:14" ht="15" customHeight="1" x14ac:dyDescent="0.45">
      <c r="C45" s="1"/>
      <c r="D45" s="22" t="s">
        <v>337</v>
      </c>
      <c r="E45" s="21" t="s">
        <v>338</v>
      </c>
      <c r="F45" s="15"/>
      <c r="G45" s="15"/>
      <c r="H45" s="34"/>
      <c r="I45" s="15"/>
      <c r="J45" s="15"/>
      <c r="K45" s="15"/>
      <c r="L45" s="15"/>
      <c r="M45" s="15"/>
      <c r="N45" s="163"/>
    </row>
    <row r="46" spans="3:14" ht="15" customHeight="1" x14ac:dyDescent="0.45">
      <c r="C46" s="1"/>
      <c r="D46" s="22" t="s">
        <v>339</v>
      </c>
      <c r="E46" s="21" t="s">
        <v>340</v>
      </c>
      <c r="F46" s="15"/>
      <c r="G46" s="15"/>
      <c r="H46" s="34"/>
      <c r="I46" s="15"/>
      <c r="J46" s="15"/>
      <c r="K46" s="15"/>
      <c r="L46" s="15"/>
      <c r="M46" s="15"/>
      <c r="N46" s="163"/>
    </row>
    <row r="47" spans="3:14" ht="15" customHeight="1" x14ac:dyDescent="0.45">
      <c r="C47" s="1"/>
      <c r="D47" s="22" t="s">
        <v>341</v>
      </c>
      <c r="E47" s="21" t="s">
        <v>342</v>
      </c>
      <c r="F47" s="15"/>
      <c r="G47" s="15"/>
      <c r="H47" s="34"/>
      <c r="I47" s="15"/>
      <c r="J47" s="15"/>
      <c r="K47" s="15"/>
      <c r="L47" s="15"/>
      <c r="M47" s="15"/>
      <c r="N47" s="163"/>
    </row>
    <row r="48" spans="3:14" ht="15" customHeight="1" x14ac:dyDescent="0.45">
      <c r="C48" s="1"/>
      <c r="D48" s="22" t="s">
        <v>160</v>
      </c>
      <c r="E48" s="21" t="s">
        <v>343</v>
      </c>
      <c r="F48" s="15"/>
      <c r="G48" s="15"/>
      <c r="H48" s="34"/>
      <c r="I48" s="15"/>
      <c r="J48" s="15"/>
      <c r="K48" s="15"/>
      <c r="L48" s="15"/>
      <c r="M48" s="15"/>
      <c r="N48" s="163"/>
    </row>
    <row r="49" spans="3:14" ht="15" customHeight="1" x14ac:dyDescent="0.45">
      <c r="C49" s="1"/>
      <c r="D49" s="22" t="s">
        <v>344</v>
      </c>
      <c r="E49" s="21" t="s">
        <v>345</v>
      </c>
      <c r="F49" s="15"/>
      <c r="G49" s="15"/>
      <c r="H49" s="34"/>
      <c r="I49" s="15"/>
      <c r="J49" s="15"/>
      <c r="K49" s="15"/>
      <c r="L49" s="15"/>
      <c r="M49" s="15"/>
      <c r="N49" s="163"/>
    </row>
    <row r="50" spans="3:14" ht="15" customHeight="1" x14ac:dyDescent="0.45">
      <c r="C50" s="1"/>
      <c r="D50" s="22" t="s">
        <v>228</v>
      </c>
      <c r="E50" s="21" t="s">
        <v>346</v>
      </c>
      <c r="F50" s="15"/>
      <c r="G50" s="15"/>
      <c r="H50" s="34"/>
      <c r="I50" s="15"/>
      <c r="J50" s="15"/>
      <c r="K50" s="15"/>
      <c r="L50" s="15"/>
      <c r="M50" s="15"/>
      <c r="N50" s="163"/>
    </row>
    <row r="51" spans="3:14" ht="15" customHeight="1" x14ac:dyDescent="0.45">
      <c r="C51" s="1"/>
      <c r="D51" s="22" t="s">
        <v>347</v>
      </c>
      <c r="E51" s="21" t="s">
        <v>178</v>
      </c>
      <c r="F51" s="15"/>
      <c r="G51" s="15"/>
      <c r="H51" s="34"/>
      <c r="I51" s="15"/>
      <c r="J51" s="15"/>
      <c r="K51" s="15"/>
      <c r="L51" s="15"/>
      <c r="M51" s="15"/>
      <c r="N51" s="163"/>
    </row>
    <row r="52" spans="3:14" ht="15" customHeight="1" x14ac:dyDescent="0.45">
      <c r="C52" s="1"/>
      <c r="D52" s="22" t="s">
        <v>116</v>
      </c>
      <c r="E52" s="21" t="s">
        <v>348</v>
      </c>
      <c r="F52" s="15"/>
      <c r="G52" s="15"/>
      <c r="H52" s="34"/>
      <c r="I52" s="15"/>
      <c r="J52" s="15"/>
      <c r="K52" s="15"/>
      <c r="L52" s="15"/>
      <c r="M52" s="15"/>
      <c r="N52" s="163"/>
    </row>
    <row r="53" spans="3:14" ht="15" customHeight="1" x14ac:dyDescent="0.45">
      <c r="C53" s="1"/>
      <c r="D53" s="22" t="s">
        <v>324</v>
      </c>
      <c r="E53" s="21" t="s">
        <v>349</v>
      </c>
      <c r="F53" s="15"/>
      <c r="G53" s="15"/>
      <c r="H53" s="34"/>
      <c r="I53" s="15"/>
      <c r="J53" s="15"/>
      <c r="K53" s="15"/>
      <c r="L53" s="15"/>
      <c r="M53" s="15"/>
      <c r="N53" s="163"/>
    </row>
    <row r="54" spans="3:14" ht="15" customHeight="1" thickBot="1" x14ac:dyDescent="0.5">
      <c r="C54" s="165" t="s">
        <v>133</v>
      </c>
      <c r="D54" s="166"/>
      <c r="E54" s="167"/>
      <c r="F54" s="18">
        <f t="shared" ref="F54:G54" si="0">SUM(F40:F53)</f>
        <v>0</v>
      </c>
      <c r="G54" s="38">
        <f t="shared" si="0"/>
        <v>0</v>
      </c>
      <c r="H54" s="35">
        <f t="shared" ref="H54:M54" si="1">SUM(H40:H53)</f>
        <v>0</v>
      </c>
      <c r="I54" s="18">
        <f t="shared" si="1"/>
        <v>0</v>
      </c>
      <c r="J54" s="18">
        <f t="shared" si="1"/>
        <v>0</v>
      </c>
      <c r="K54" s="18">
        <f t="shared" si="1"/>
        <v>0</v>
      </c>
      <c r="L54" s="17">
        <f t="shared" si="1"/>
        <v>0</v>
      </c>
      <c r="M54" s="17">
        <f t="shared" si="1"/>
        <v>0</v>
      </c>
      <c r="N54" s="164"/>
    </row>
    <row r="55" spans="3:14" ht="15" customHeight="1" thickTop="1" x14ac:dyDescent="0.45">
      <c r="C55" s="168" t="s">
        <v>350</v>
      </c>
      <c r="D55" s="169"/>
      <c r="E55" s="169"/>
      <c r="F55" s="13"/>
      <c r="G55" s="39"/>
      <c r="H55" s="36"/>
      <c r="I55" s="13"/>
      <c r="J55" s="13"/>
      <c r="K55" s="13"/>
      <c r="L55" s="13"/>
      <c r="M55" s="13"/>
      <c r="N55" s="12" t="s">
        <v>319</v>
      </c>
    </row>
    <row r="56" spans="3:14" ht="15" customHeight="1" x14ac:dyDescent="0.45">
      <c r="C56" s="1"/>
      <c r="D56" s="23" t="s">
        <v>351</v>
      </c>
      <c r="E56" s="21" t="s">
        <v>206</v>
      </c>
      <c r="F56" s="15"/>
      <c r="G56" s="15"/>
      <c r="H56" s="34"/>
      <c r="I56" s="15"/>
      <c r="J56" s="15"/>
      <c r="K56" s="15"/>
      <c r="L56" s="15"/>
      <c r="M56" s="15"/>
      <c r="N56" s="162"/>
    </row>
    <row r="57" spans="3:14" ht="15" customHeight="1" x14ac:dyDescent="0.45">
      <c r="C57" s="1"/>
      <c r="D57" s="22" t="s">
        <v>207</v>
      </c>
      <c r="E57" s="21" t="s">
        <v>208</v>
      </c>
      <c r="F57" s="15"/>
      <c r="G57" s="15"/>
      <c r="H57" s="34"/>
      <c r="I57" s="15"/>
      <c r="J57" s="15"/>
      <c r="K57" s="15"/>
      <c r="L57" s="15"/>
      <c r="M57" s="15"/>
      <c r="N57" s="163"/>
    </row>
    <row r="58" spans="3:14" ht="15" customHeight="1" x14ac:dyDescent="0.45">
      <c r="C58" s="1"/>
      <c r="D58" s="22" t="s">
        <v>210</v>
      </c>
      <c r="E58" s="21" t="s">
        <v>211</v>
      </c>
      <c r="F58" s="15"/>
      <c r="G58" s="15"/>
      <c r="H58" s="34"/>
      <c r="I58" s="15"/>
      <c r="J58" s="15"/>
      <c r="K58" s="15"/>
      <c r="L58" s="15"/>
      <c r="M58" s="15"/>
      <c r="N58" s="163"/>
    </row>
    <row r="59" spans="3:14" ht="15" customHeight="1" x14ac:dyDescent="0.45">
      <c r="C59" s="14"/>
      <c r="D59" s="22" t="s">
        <v>212</v>
      </c>
      <c r="E59" s="21" t="s">
        <v>352</v>
      </c>
      <c r="F59" s="15"/>
      <c r="G59" s="15"/>
      <c r="H59" s="34"/>
      <c r="I59" s="15"/>
      <c r="J59" s="15"/>
      <c r="K59" s="15"/>
      <c r="L59" s="15"/>
      <c r="M59" s="15"/>
      <c r="N59" s="163"/>
    </row>
    <row r="60" spans="3:14" ht="15" customHeight="1" thickBot="1" x14ac:dyDescent="0.5">
      <c r="C60" s="165" t="s">
        <v>133</v>
      </c>
      <c r="D60" s="166"/>
      <c r="E60" s="167"/>
      <c r="F60" s="18">
        <f t="shared" ref="F60:K60" si="2">SUM(F56:F59)</f>
        <v>0</v>
      </c>
      <c r="G60" s="38">
        <f t="shared" si="2"/>
        <v>0</v>
      </c>
      <c r="H60" s="35">
        <f t="shared" si="2"/>
        <v>0</v>
      </c>
      <c r="I60" s="18">
        <f t="shared" si="2"/>
        <v>0</v>
      </c>
      <c r="J60" s="18">
        <f t="shared" si="2"/>
        <v>0</v>
      </c>
      <c r="K60" s="18">
        <f t="shared" si="2"/>
        <v>0</v>
      </c>
      <c r="L60" s="17">
        <f>SUM(L56:L59)</f>
        <v>0</v>
      </c>
      <c r="M60" s="17">
        <f t="shared" ref="M60" si="3">SUM(M56:M59)</f>
        <v>0</v>
      </c>
      <c r="N60" s="164"/>
    </row>
    <row r="61" spans="3:14" ht="15" customHeight="1" thickTop="1" x14ac:dyDescent="0.45">
      <c r="C61" s="181" t="s">
        <v>214</v>
      </c>
      <c r="D61" s="181"/>
      <c r="E61" s="181"/>
      <c r="F61" s="179"/>
      <c r="G61" s="185">
        <f>SUM(G21+G28+G38+G54+G60)</f>
        <v>0</v>
      </c>
      <c r="H61" s="185"/>
      <c r="I61" s="179">
        <f>SUM(I21+I28+I38+I54+I60)</f>
        <v>0</v>
      </c>
      <c r="J61" s="179">
        <f>SUM(J21+J28+J38+J54+J60)</f>
        <v>0</v>
      </c>
      <c r="K61" s="179">
        <f>SUM(K21+K28+K38+K54+K60)</f>
        <v>0</v>
      </c>
      <c r="L61" s="183">
        <f>SUM(L21+L28+L38+L54+L60)</f>
        <v>0</v>
      </c>
      <c r="M61" s="183">
        <f>SUM(M21+M28+M38+M54+M60)</f>
        <v>0</v>
      </c>
    </row>
    <row r="62" spans="3:14" ht="15" customHeight="1" x14ac:dyDescent="0.45">
      <c r="C62" s="182"/>
      <c r="D62" s="182"/>
      <c r="E62" s="182"/>
      <c r="F62" s="180"/>
      <c r="G62" s="186"/>
      <c r="H62" s="186"/>
      <c r="I62" s="180"/>
      <c r="J62" s="180"/>
      <c r="K62" s="180"/>
      <c r="L62" s="184"/>
      <c r="M62" s="184"/>
    </row>
  </sheetData>
  <mergeCells count="30">
    <mergeCell ref="L61:L62"/>
    <mergeCell ref="M61:M62"/>
    <mergeCell ref="F16:I16"/>
    <mergeCell ref="N40:N54"/>
    <mergeCell ref="C54:E54"/>
    <mergeCell ref="C55:E55"/>
    <mergeCell ref="N56:N60"/>
    <mergeCell ref="C60:E60"/>
    <mergeCell ref="N23:N28"/>
    <mergeCell ref="C28:E28"/>
    <mergeCell ref="C29:E29"/>
    <mergeCell ref="N30:N38"/>
    <mergeCell ref="C38:E38"/>
    <mergeCell ref="F61:F62"/>
    <mergeCell ref="G61:G62"/>
    <mergeCell ref="H61:H62"/>
    <mergeCell ref="I61:I62"/>
    <mergeCell ref="J61:J62"/>
    <mergeCell ref="C61:E62"/>
    <mergeCell ref="K61:K62"/>
    <mergeCell ref="C39:E39"/>
    <mergeCell ref="C18:E18"/>
    <mergeCell ref="N19:N21"/>
    <mergeCell ref="C21:E21"/>
    <mergeCell ref="C22:E22"/>
    <mergeCell ref="C12:N12"/>
    <mergeCell ref="C13:N13"/>
    <mergeCell ref="J16:K16"/>
    <mergeCell ref="L16:M16"/>
    <mergeCell ref="C17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344C-6159-4BC2-92CF-8CEE5554C5F8}">
  <sheetPr codeName="Sheet1"/>
  <dimension ref="D3:H34"/>
  <sheetViews>
    <sheetView topLeftCell="A7" zoomScale="70" zoomScaleNormal="70" workbookViewId="0">
      <selection activeCell="D32" sqref="D32"/>
    </sheetView>
  </sheetViews>
  <sheetFormatPr defaultRowHeight="14.25" x14ac:dyDescent="0.45"/>
  <cols>
    <col min="2" max="2" width="9" customWidth="1"/>
    <col min="4" max="8" width="34.73046875" customWidth="1"/>
  </cols>
  <sheetData>
    <row r="3" spans="4:8" ht="28.5" x14ac:dyDescent="0.45">
      <c r="D3" s="81" t="s">
        <v>353</v>
      </c>
      <c r="E3" s="81" t="s">
        <v>354</v>
      </c>
      <c r="F3" s="81" t="s">
        <v>355</v>
      </c>
      <c r="G3" s="81" t="s">
        <v>356</v>
      </c>
      <c r="H3" s="81" t="s">
        <v>357</v>
      </c>
    </row>
    <row r="4" spans="4:8" ht="156.75" x14ac:dyDescent="0.45">
      <c r="D4" s="82" t="s">
        <v>358</v>
      </c>
      <c r="E4" s="82" t="s">
        <v>359</v>
      </c>
      <c r="F4" s="83" t="s">
        <v>360</v>
      </c>
      <c r="G4" s="83" t="s">
        <v>361</v>
      </c>
      <c r="H4" s="82" t="s">
        <v>362</v>
      </c>
    </row>
    <row r="5" spans="4:8" ht="114" x14ac:dyDescent="0.45">
      <c r="D5" s="82" t="s">
        <v>363</v>
      </c>
      <c r="E5" s="83" t="s">
        <v>364</v>
      </c>
      <c r="F5" s="83" t="s">
        <v>365</v>
      </c>
      <c r="G5" s="83" t="s">
        <v>366</v>
      </c>
      <c r="H5" s="82" t="s">
        <v>367</v>
      </c>
    </row>
    <row r="6" spans="4:8" ht="142.5" x14ac:dyDescent="0.45">
      <c r="D6" s="82" t="s">
        <v>368</v>
      </c>
      <c r="E6" s="83" t="s">
        <v>369</v>
      </c>
      <c r="F6" s="83" t="s">
        <v>370</v>
      </c>
      <c r="G6" s="83" t="s">
        <v>371</v>
      </c>
      <c r="H6" s="82" t="s">
        <v>372</v>
      </c>
    </row>
    <row r="7" spans="4:8" ht="128.25" x14ac:dyDescent="0.45">
      <c r="D7" s="82" t="s">
        <v>373</v>
      </c>
      <c r="E7" s="83" t="s">
        <v>374</v>
      </c>
      <c r="F7" s="83" t="s">
        <v>375</v>
      </c>
      <c r="G7" s="83" t="s">
        <v>376</v>
      </c>
      <c r="H7" s="82" t="s">
        <v>377</v>
      </c>
    </row>
    <row r="9" spans="4:8" x14ac:dyDescent="0.45">
      <c r="D9" s="9" t="s">
        <v>378</v>
      </c>
    </row>
    <row r="10" spans="4:8" x14ac:dyDescent="0.45">
      <c r="D10" t="s">
        <v>379</v>
      </c>
    </row>
    <row r="11" spans="4:8" x14ac:dyDescent="0.45">
      <c r="D11" s="84" t="s">
        <v>380</v>
      </c>
    </row>
    <row r="12" spans="4:8" x14ac:dyDescent="0.45">
      <c r="D12" t="s">
        <v>381</v>
      </c>
    </row>
    <row r="13" spans="4:8" x14ac:dyDescent="0.45">
      <c r="D13" t="s">
        <v>382</v>
      </c>
    </row>
    <row r="17" spans="4:4" ht="23.25" x14ac:dyDescent="0.45">
      <c r="D17" s="85" t="s">
        <v>383</v>
      </c>
    </row>
    <row r="18" spans="4:4" x14ac:dyDescent="0.45">
      <c r="D18" s="86"/>
    </row>
    <row r="19" spans="4:4" x14ac:dyDescent="0.45">
      <c r="D19" s="87" t="s">
        <v>384</v>
      </c>
    </row>
    <row r="20" spans="4:4" x14ac:dyDescent="0.45">
      <c r="D20" s="88" t="s">
        <v>385</v>
      </c>
    </row>
    <row r="21" spans="4:4" x14ac:dyDescent="0.45">
      <c r="D21" s="88" t="s">
        <v>386</v>
      </c>
    </row>
    <row r="22" spans="4:4" x14ac:dyDescent="0.45">
      <c r="D22" s="86" t="s">
        <v>387</v>
      </c>
    </row>
    <row r="23" spans="4:4" x14ac:dyDescent="0.45">
      <c r="D23" s="88" t="s">
        <v>388</v>
      </c>
    </row>
    <row r="24" spans="4:4" x14ac:dyDescent="0.45">
      <c r="D24" s="88" t="s">
        <v>389</v>
      </c>
    </row>
    <row r="25" spans="4:4" x14ac:dyDescent="0.45">
      <c r="D25" s="86" t="s">
        <v>390</v>
      </c>
    </row>
    <row r="26" spans="4:4" x14ac:dyDescent="0.45">
      <c r="D26" s="86"/>
    </row>
    <row r="27" spans="4:4" x14ac:dyDescent="0.45">
      <c r="D27" s="87" t="s">
        <v>391</v>
      </c>
    </row>
    <row r="28" spans="4:4" x14ac:dyDescent="0.45">
      <c r="D28" s="88" t="s">
        <v>392</v>
      </c>
    </row>
    <row r="29" spans="4:4" x14ac:dyDescent="0.45">
      <c r="D29" s="86" t="s">
        <v>393</v>
      </c>
    </row>
    <row r="30" spans="4:4" x14ac:dyDescent="0.45">
      <c r="D30" s="86" t="s">
        <v>394</v>
      </c>
    </row>
    <row r="31" spans="4:4" x14ac:dyDescent="0.45">
      <c r="D31" s="86"/>
    </row>
    <row r="32" spans="4:4" x14ac:dyDescent="0.45">
      <c r="D32" s="87" t="s">
        <v>395</v>
      </c>
    </row>
    <row r="33" spans="4:4" x14ac:dyDescent="0.45">
      <c r="D33" s="88" t="s">
        <v>396</v>
      </c>
    </row>
    <row r="34" spans="4:4" x14ac:dyDescent="0.45">
      <c r="D34" s="86" t="s">
        <v>397</v>
      </c>
    </row>
  </sheetData>
  <hyperlinks>
    <hyperlink ref="D11" r:id="rId1" display="https://championfiberglass.com/neca-labor-rates/?utm_source=chatgpt.com" xr:uid="{BBD46FEC-2832-43F1-BD75-F00F8CE0133C}"/>
    <hyperlink ref="D20" r:id="rId2" display="https://thewaterworkswarehouse.com/product/1-1-4-sdr11-orange-conduit-hdpe-pipe-8000-on-96-reel/" xr:uid="{AC355A87-1DD0-4916-BB40-82DBD9EBC8FB}"/>
    <hyperlink ref="D21" r:id="rId3" display="https://thewaterworkswarehouse.com/product/2x3000-orange-conduit/" xr:uid="{2E52CD6F-589A-40AC-9960-D656A660FC74}"/>
    <hyperlink ref="D23" r:id="rId4" display="https://www.homedepot.com/p/IDEAL-1-2-in-x-3000-ft-Reel-Pro-Pull-Measuring-Pull-Tape-Tensile-Strength-1250-lbs-31-1250-30/319943622?utm_source=chatgpt.com" xr:uid="{39B01E91-943F-4243-A69F-46780EE7A990}"/>
    <hyperlink ref="D24" r:id="rId5" display="https://georgiaunderground.net/products/sw12green-copperhead-12-awg-30.html?srsltid=AfmBOorUOObvkKaccOvEp4OqfDROiA3tU-JA2BCJi_aW7Cuvfa-GNE2P&amp;utm_source=chatgpt.com" xr:uid="{62D5188C-1C16-4597-9775-2141F10A1CE6}"/>
    <hyperlink ref="D28" r:id="rId6" display="https://championfiberglass.com/neca-labor-rates/?utm_source=chatgpt.com" xr:uid="{B464E1FA-23CA-4F60-B1AD-305188145D7A}"/>
    <hyperlink ref="D33" r:id="rId7" display="https://www.bls.gov/oes/2023/may/oes472111.htm?utm_source=chatgpt.com" xr:uid="{EEE6D9F8-2736-415B-A65C-5A7C727136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7694E2F0-BBFF-4A52-B4A8-891D6FD7DA6B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Value Analysis</vt:lpstr>
      <vt:lpstr>Indoor Installation Full</vt:lpstr>
      <vt:lpstr>Outdoor Installation</vt:lpstr>
      <vt:lpstr>Outdoor vs Class 2</vt:lpstr>
      <vt:lpstr>Materials Pricing</vt:lpstr>
      <vt:lpstr>SoW Template</vt:lpstr>
      <vt:lpstr>Trenching Costs (estimated)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Chukwuma Agba</dc:creator>
  <cp:keywords/>
  <dc:description/>
  <cp:lastModifiedBy>Chukwuma Agba</cp:lastModifiedBy>
  <cp:revision/>
  <dcterms:created xsi:type="dcterms:W3CDTF">2015-06-05T18:17:20Z</dcterms:created>
  <dcterms:modified xsi:type="dcterms:W3CDTF">2026-02-02T20:34:21Z</dcterms:modified>
  <cp:category/>
  <cp:contentStatus/>
</cp:coreProperties>
</file>