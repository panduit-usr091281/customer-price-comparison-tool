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05"/>
  <workbookPr/>
  <mc:AlternateContent xmlns:mc="http://schemas.openxmlformats.org/markup-compatibility/2006">
    <mc:Choice Requires="x15">
      <x15ac:absPath xmlns:x15ac="http://schemas.microsoft.com/office/spreadsheetml/2010/11/ac" url="https://panduit-my.sharepoint.com/personal/usr091281_panduit_com/Documents/Documents/FMP Project Cost Analysis/"/>
    </mc:Choice>
  </mc:AlternateContent>
  <xr:revisionPtr revIDLastSave="883" documentId="11_F25DC773A252ABDACC104811919D4ABE5ADE58EE" xr6:coauthVersionLast="47" xr6:coauthVersionMax="47" xr10:uidLastSave="{6BEE76CE-3AA0-43D1-8465-1F1960507CB1}"/>
  <bookViews>
    <workbookView minimized="1" xWindow="5460" yWindow="1972" windowWidth="16140" windowHeight="9931" firstSheet="2" activeTab="2" xr2:uid="{00000000-000D-0000-FFFF-FFFF00000000}"/>
  </bookViews>
  <sheets>
    <sheet name="Measured Outcomes" sheetId="2" r:id="rId1"/>
    <sheet name="Device Overview" sheetId="3" r:id="rId2"/>
    <sheet name="Full Build MEP Scope" sheetId="1" r:id="rId3"/>
    <sheet name="Installation Scope AC" sheetId="4" r:id="rId4"/>
    <sheet name="Installation Scope LV" sheetId="5" r:id="rId5"/>
    <sheet name="Sheet2" sheetId="6" r:id="rId6"/>
  </sheets>
  <definedNames>
    <definedName name="_xlnm._FilterDatabase" localSheetId="1" hidden="1">'Device Overview'!$A$2:$H$53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B9" i="2"/>
  <c r="B7" i="2"/>
  <c r="B5" i="2"/>
  <c r="K15" i="5"/>
  <c r="K16" i="5"/>
  <c r="K17" i="5"/>
  <c r="K18" i="5"/>
  <c r="K20" i="5"/>
  <c r="K21" i="5"/>
  <c r="K22" i="5"/>
  <c r="K23" i="5"/>
  <c r="K25" i="5"/>
  <c r="K26" i="5"/>
  <c r="K27" i="5"/>
  <c r="K28" i="5"/>
  <c r="K29" i="5"/>
  <c r="K30" i="5"/>
  <c r="K32" i="5"/>
  <c r="K34" i="5"/>
  <c r="K35" i="5"/>
  <c r="K38" i="5"/>
  <c r="K40" i="5"/>
  <c r="K41" i="5"/>
  <c r="K43" i="5"/>
  <c r="K45" i="5"/>
  <c r="K46" i="5"/>
  <c r="K47" i="5"/>
  <c r="K49" i="5"/>
  <c r="K50" i="5"/>
  <c r="L23" i="5"/>
  <c r="L25" i="5"/>
  <c r="H38" i="5"/>
  <c r="H40" i="5"/>
  <c r="L41" i="5"/>
  <c r="H46" i="5"/>
  <c r="L46" i="5" s="1"/>
  <c r="H50" i="5"/>
  <c r="K78" i="4"/>
  <c r="J78" i="4"/>
  <c r="J17" i="4"/>
  <c r="J19" i="4"/>
  <c r="J20" i="4"/>
  <c r="J21" i="4"/>
  <c r="J22" i="4"/>
  <c r="K22" i="4" s="1"/>
  <c r="J23" i="4"/>
  <c r="K23" i="4" s="1"/>
  <c r="J24" i="4"/>
  <c r="K24" i="4" s="1"/>
  <c r="K25" i="4"/>
  <c r="K26" i="4"/>
  <c r="J27" i="4"/>
  <c r="K27" i="4" s="1"/>
  <c r="J28" i="4"/>
  <c r="K28" i="4" s="1"/>
  <c r="J30" i="4"/>
  <c r="J31" i="4"/>
  <c r="J32" i="4"/>
  <c r="J33" i="4"/>
  <c r="J34" i="4"/>
  <c r="K34" i="4" s="1"/>
  <c r="J35" i="4"/>
  <c r="K35" i="4" s="1"/>
  <c r="J36" i="4"/>
  <c r="K36" i="4" s="1"/>
  <c r="J37" i="4"/>
  <c r="K37" i="4" s="1"/>
  <c r="J38" i="4"/>
  <c r="K38" i="4" s="1"/>
  <c r="J39" i="4"/>
  <c r="K39" i="4" s="1"/>
  <c r="J40" i="4"/>
  <c r="K40" i="4" s="1"/>
  <c r="J42" i="4"/>
  <c r="J43" i="4"/>
  <c r="J44" i="4"/>
  <c r="J45" i="4"/>
  <c r="J46" i="4"/>
  <c r="K46" i="4" s="1"/>
  <c r="J47" i="4"/>
  <c r="K47" i="4" s="1"/>
  <c r="J48" i="4"/>
  <c r="K48" i="4" s="1"/>
  <c r="J49" i="4"/>
  <c r="K49" i="4" s="1"/>
  <c r="J50" i="4"/>
  <c r="K50" i="4" s="1"/>
  <c r="J51" i="4"/>
  <c r="K51" i="4" s="1"/>
  <c r="J52" i="4"/>
  <c r="K52" i="4" s="1"/>
  <c r="J53" i="4"/>
  <c r="J56" i="4"/>
  <c r="K58" i="4"/>
  <c r="J59" i="4"/>
  <c r="K59" i="4" s="1"/>
  <c r="K60" i="4"/>
  <c r="J61" i="4"/>
  <c r="K61" i="4" s="1"/>
  <c r="K62" i="4"/>
  <c r="J63" i="4"/>
  <c r="K63" i="4" s="1"/>
  <c r="J64" i="4"/>
  <c r="K64" i="4" s="1"/>
  <c r="J65" i="4"/>
  <c r="J66" i="4"/>
  <c r="J68" i="4"/>
  <c r="J69" i="4"/>
  <c r="J70" i="4"/>
  <c r="K70" i="4" s="1"/>
  <c r="K72" i="4"/>
  <c r="K73" i="4"/>
  <c r="K74" i="4"/>
  <c r="K75" i="4"/>
  <c r="K76" i="4"/>
  <c r="K16" i="4"/>
  <c r="K11" i="4"/>
  <c r="K12" i="4"/>
  <c r="K13" i="4"/>
  <c r="K14" i="4"/>
  <c r="K17" i="4"/>
  <c r="K19" i="4"/>
  <c r="K20" i="4"/>
  <c r="K21" i="4"/>
  <c r="K30" i="4"/>
  <c r="K31" i="4"/>
  <c r="K32" i="4"/>
  <c r="K33" i="4"/>
  <c r="K42" i="4"/>
  <c r="K43" i="4"/>
  <c r="K44" i="4"/>
  <c r="K45" i="4"/>
  <c r="K53" i="4"/>
  <c r="K54" i="4"/>
  <c r="K56" i="4"/>
  <c r="K57" i="4"/>
  <c r="K65" i="4"/>
  <c r="K66" i="4"/>
  <c r="K68" i="4"/>
  <c r="K69" i="4"/>
  <c r="K77" i="4"/>
  <c r="K10" i="4"/>
  <c r="H45" i="4"/>
  <c r="H47" i="4"/>
  <c r="H27" i="4"/>
  <c r="H28" i="4"/>
  <c r="G42" i="5"/>
  <c r="H42" i="5" s="1"/>
  <c r="L42" i="5" s="1"/>
  <c r="G40" i="5"/>
  <c r="G46" i="5"/>
  <c r="G11" i="5"/>
  <c r="H11" i="5" s="1"/>
  <c r="L11" i="5" s="1"/>
  <c r="G50" i="5"/>
  <c r="G49" i="5"/>
  <c r="H49" i="5" s="1"/>
  <c r="G45" i="5"/>
  <c r="H45" i="5" s="1"/>
  <c r="G37" i="5"/>
  <c r="H37" i="5" s="1"/>
  <c r="L37" i="5" s="1"/>
  <c r="G33" i="5"/>
  <c r="H33" i="5" s="1"/>
  <c r="G30" i="5"/>
  <c r="H30" i="5" s="1"/>
  <c r="L30" i="5" s="1"/>
  <c r="G26" i="5"/>
  <c r="H26" i="5" s="1"/>
  <c r="L26" i="5" s="1"/>
  <c r="G24" i="5"/>
  <c r="H24" i="5" s="1"/>
  <c r="G22" i="5"/>
  <c r="H22" i="5" s="1"/>
  <c r="G21" i="5"/>
  <c r="H21" i="5" s="1"/>
  <c r="L21" i="5" s="1"/>
  <c r="G20" i="5"/>
  <c r="H20" i="5" s="1"/>
  <c r="G17" i="5"/>
  <c r="H17" i="5" s="1"/>
  <c r="L17" i="5" s="1"/>
  <c r="G18" i="5"/>
  <c r="H18" i="5" s="1"/>
  <c r="G16" i="5"/>
  <c r="H16" i="5" s="1"/>
  <c r="L16" i="5" s="1"/>
  <c r="G15" i="5"/>
  <c r="H15" i="5" s="1"/>
  <c r="L15" i="5" s="1"/>
  <c r="G10" i="5"/>
  <c r="H10" i="5" s="1"/>
  <c r="L10" i="5" s="1"/>
  <c r="G47" i="5"/>
  <c r="H47" i="5" s="1"/>
  <c r="L47" i="5" s="1"/>
  <c r="G13" i="5"/>
  <c r="H13" i="5" s="1"/>
  <c r="G12" i="5"/>
  <c r="H12" i="5" s="1"/>
  <c r="G9" i="5"/>
  <c r="H9" i="5" s="1"/>
  <c r="C5" i="5"/>
  <c r="C4" i="5"/>
  <c r="C3" i="5"/>
  <c r="C2" i="5"/>
  <c r="G73" i="4"/>
  <c r="H73" i="4" s="1"/>
  <c r="G72" i="4"/>
  <c r="H72" i="4" s="1"/>
  <c r="G66" i="4"/>
  <c r="H66" i="4" s="1"/>
  <c r="G65" i="4"/>
  <c r="H65" i="4" s="1"/>
  <c r="G64" i="4"/>
  <c r="H64" i="4" s="1"/>
  <c r="G63" i="4"/>
  <c r="H63" i="4" s="1"/>
  <c r="G62" i="4"/>
  <c r="H62" i="4" s="1"/>
  <c r="G60" i="4"/>
  <c r="H60" i="4" s="1"/>
  <c r="G58" i="4"/>
  <c r="H58" i="4" s="1"/>
  <c r="G57" i="4"/>
  <c r="H57" i="4" s="1"/>
  <c r="G52" i="4"/>
  <c r="H52" i="4" s="1"/>
  <c r="G50" i="4"/>
  <c r="H50" i="4" s="1"/>
  <c r="G49" i="4"/>
  <c r="H49" i="4" s="1"/>
  <c r="G47" i="4"/>
  <c r="G45" i="4"/>
  <c r="G43" i="4"/>
  <c r="H43" i="4" s="1"/>
  <c r="G31" i="4"/>
  <c r="H31" i="4" s="1"/>
  <c r="G32" i="4"/>
  <c r="H32" i="4" s="1"/>
  <c r="G33" i="4"/>
  <c r="H33" i="4" s="1"/>
  <c r="G34" i="4"/>
  <c r="H34" i="4" s="1"/>
  <c r="G35" i="4"/>
  <c r="H35" i="4" s="1"/>
  <c r="G36" i="4"/>
  <c r="H36" i="4" s="1"/>
  <c r="G37" i="4"/>
  <c r="H37" i="4" s="1"/>
  <c r="G38" i="4"/>
  <c r="H38" i="4" s="1"/>
  <c r="G39" i="4"/>
  <c r="H39" i="4" s="1"/>
  <c r="G30" i="4"/>
  <c r="H30" i="4" s="1"/>
  <c r="G28" i="4"/>
  <c r="G27" i="4"/>
  <c r="G26" i="4"/>
  <c r="H26" i="4" s="1"/>
  <c r="G25" i="4"/>
  <c r="H25" i="4" s="1"/>
  <c r="G22" i="4"/>
  <c r="H22" i="4" s="1"/>
  <c r="G21" i="4"/>
  <c r="H21" i="4" s="1"/>
  <c r="G20" i="4"/>
  <c r="H20" i="4" s="1"/>
  <c r="G19" i="4"/>
  <c r="H19" i="4" s="1"/>
  <c r="G12" i="4"/>
  <c r="H12" i="4" s="1"/>
  <c r="G10" i="4"/>
  <c r="H10" i="4" s="1"/>
  <c r="G11" i="4"/>
  <c r="H11" i="4" s="1"/>
  <c r="G74" i="4"/>
  <c r="H74" i="4" s="1"/>
  <c r="G54" i="4"/>
  <c r="H54" i="4" s="1"/>
  <c r="G24" i="4"/>
  <c r="H24" i="4" s="1"/>
  <c r="G23" i="4"/>
  <c r="H23" i="4" s="1"/>
  <c r="G40" i="4"/>
  <c r="H40" i="4" s="1"/>
  <c r="G13" i="4"/>
  <c r="H13" i="4" s="1"/>
  <c r="G77" i="4"/>
  <c r="H77" i="4" s="1"/>
  <c r="G76" i="4"/>
  <c r="H76" i="4" s="1"/>
  <c r="G75" i="4"/>
  <c r="H75" i="4" s="1"/>
  <c r="G16" i="4"/>
  <c r="H16" i="4" s="1"/>
  <c r="G14" i="4"/>
  <c r="H14" i="4" s="1"/>
  <c r="G70" i="4"/>
  <c r="H70" i="4" s="1"/>
  <c r="G69" i="4"/>
  <c r="H69" i="4" s="1"/>
  <c r="G68" i="4"/>
  <c r="H68" i="4" s="1"/>
  <c r="C6" i="4"/>
  <c r="C5" i="4"/>
  <c r="C4" i="4"/>
  <c r="C3" i="4"/>
  <c r="C2" i="4"/>
  <c r="K51" i="5" l="1"/>
  <c r="L45" i="5"/>
  <c r="L29" i="5"/>
  <c r="L49" i="5"/>
  <c r="L18" i="5"/>
  <c r="L22" i="5"/>
  <c r="L35" i="5"/>
  <c r="L24" i="5"/>
  <c r="L34" i="5"/>
  <c r="L12" i="5"/>
  <c r="L50" i="5"/>
  <c r="L13" i="5"/>
  <c r="L33" i="5"/>
  <c r="L32" i="5"/>
  <c r="L43" i="5"/>
  <c r="L28" i="5"/>
  <c r="L40" i="5"/>
  <c r="L20" i="5"/>
  <c r="L27" i="5"/>
  <c r="L38" i="5"/>
  <c r="L9" i="5"/>
  <c r="H51" i="5"/>
  <c r="H78" i="4"/>
  <c r="L51" i="5" l="1"/>
</calcChain>
</file>

<file path=xl/sharedStrings.xml><?xml version="1.0" encoding="utf-8"?>
<sst xmlns="http://schemas.openxmlformats.org/spreadsheetml/2006/main" count="1212" uniqueCount="591">
  <si>
    <t>Outcomes Comparison</t>
  </si>
  <si>
    <t>Cost Comparison</t>
  </si>
  <si>
    <t>Full AC with Standard POE</t>
  </si>
  <si>
    <t>AC Power mains with FMPS to the desk</t>
  </si>
  <si>
    <t>AC Power Mains-with FMPS to support POE</t>
  </si>
  <si>
    <t>A/C Standard</t>
  </si>
  <si>
    <t>A/C + FMP</t>
  </si>
  <si>
    <t>A/C + FMP + POE</t>
  </si>
  <si>
    <t>AC Power Scope</t>
  </si>
  <si>
    <t>FMPS and DC Power Scope</t>
  </si>
  <si>
    <t>POE Scope (LV Scope)</t>
  </si>
  <si>
    <t>Design &amp; Engineering</t>
  </si>
  <si>
    <t>Total</t>
  </si>
  <si>
    <t>Savings / Value Comparison</t>
  </si>
  <si>
    <t>Total cable distances</t>
  </si>
  <si>
    <t>Cable Gauge</t>
  </si>
  <si>
    <t>Electrical System Efficiency</t>
  </si>
  <si>
    <t>Labor Rates</t>
  </si>
  <si>
    <t>Labor Hours</t>
  </si>
  <si>
    <t>Smart building performance</t>
  </si>
  <si>
    <t xml:space="preserve">Design Time </t>
  </si>
  <si>
    <t>Project Management Time</t>
  </si>
  <si>
    <t>Core Space</t>
  </si>
  <si>
    <t>Conduit Length</t>
  </si>
  <si>
    <t>Conduit size</t>
  </si>
  <si>
    <t xml:space="preserve">Green Certifications </t>
  </si>
  <si>
    <t xml:space="preserve">Installation Cost </t>
  </si>
  <si>
    <t>Maintenance Cost</t>
  </si>
  <si>
    <t>Permitting Cost</t>
  </si>
  <si>
    <t>Permitting Time</t>
  </si>
  <si>
    <t>UPS Cost</t>
  </si>
  <si>
    <t>Category</t>
  </si>
  <si>
    <t>Device Type</t>
  </si>
  <si>
    <t>Device Detail</t>
  </si>
  <si>
    <t>Device Natïve Voltage</t>
  </si>
  <si>
    <t>A/C Power Option</t>
  </si>
  <si>
    <t xml:space="preserve">DC Power Option </t>
  </si>
  <si>
    <t>POE Power Option</t>
  </si>
  <si>
    <t>Typical Quantity</t>
  </si>
  <si>
    <t>A/V</t>
  </si>
  <si>
    <t>AV – Audio</t>
  </si>
  <si>
    <t>DSP / amplifiers</t>
  </si>
  <si>
    <t>DC</t>
  </si>
  <si>
    <t>YES</t>
  </si>
  <si>
    <t>AV – Conference</t>
  </si>
  <si>
    <t>Large flat panels</t>
  </si>
  <si>
    <t>AV – Misc</t>
  </si>
  <si>
    <t>Digital signage</t>
  </si>
  <si>
    <t>Appliances</t>
  </si>
  <si>
    <t>Breakroom</t>
  </si>
  <si>
    <t>Coffee brewers</t>
  </si>
  <si>
    <t>AC</t>
  </si>
  <si>
    <t>NO</t>
  </si>
  <si>
    <t>Dishwashers</t>
  </si>
  <si>
    <t>Microwaves</t>
  </si>
  <si>
    <t>Refrigerators</t>
  </si>
  <si>
    <t>Vending machines</t>
  </si>
  <si>
    <t>Water coolers</t>
  </si>
  <si>
    <t>Base Building (Plumbing / HVAC)</t>
  </si>
  <si>
    <t>HVAC – Terminal</t>
  </si>
  <si>
    <t>Fan coils</t>
  </si>
  <si>
    <t>VAV box w/ reheat</t>
  </si>
  <si>
    <t>Networking</t>
  </si>
  <si>
    <t>IT – Endpoints</t>
  </si>
  <si>
    <t>Thin clients</t>
  </si>
  <si>
    <t>IT – IDF</t>
  </si>
  <si>
    <t>Non-PoE switches</t>
  </si>
  <si>
    <t>PoE access switches</t>
  </si>
  <si>
    <t>Rackmount UPS</t>
  </si>
  <si>
    <t>Routers / firewalls</t>
  </si>
  <si>
    <t>IT – Network Core</t>
  </si>
  <si>
    <t>Aggregation switch</t>
  </si>
  <si>
    <t>Life Safety</t>
  </si>
  <si>
    <t>Fire alarm node</t>
  </si>
  <si>
    <t xml:space="preserve">Lighting </t>
  </si>
  <si>
    <t>Lighting</t>
  </si>
  <si>
    <t>Emergency inverter</t>
  </si>
  <si>
    <t>LED 2x4 troffer</t>
  </si>
  <si>
    <t>LED downlights</t>
  </si>
  <si>
    <t>Office</t>
  </si>
  <si>
    <t>Outlets</t>
  </si>
  <si>
    <t>Floor boxes / receptacle strips</t>
  </si>
  <si>
    <t>Misc Office</t>
  </si>
  <si>
    <t>Motorized shades</t>
  </si>
  <si>
    <t>Office Equipment</t>
  </si>
  <si>
    <t>Desktop printers</t>
  </si>
  <si>
    <t>Floor MFP / copier</t>
  </si>
  <si>
    <t>Scanners / label printers</t>
  </si>
  <si>
    <t>Plumbing</t>
  </si>
  <si>
    <t>Exhaust fans</t>
  </si>
  <si>
    <t xml:space="preserve">Security </t>
  </si>
  <si>
    <t>Security</t>
  </si>
  <si>
    <t>Door controllers</t>
  </si>
  <si>
    <t>NVR / video server</t>
  </si>
  <si>
    <t>Security workstations</t>
  </si>
  <si>
    <t>Sound Masking</t>
  </si>
  <si>
    <t>Sound Masking Controller/amp</t>
  </si>
  <si>
    <t>Workstations</t>
  </si>
  <si>
    <t>Laptop + USB-C dock</t>
  </si>
  <si>
    <t>Task lights (LED)</t>
  </si>
  <si>
    <t>USB/USB-C chargers</t>
  </si>
  <si>
    <t>Video bars / codecs</t>
  </si>
  <si>
    <t>LED exit signs</t>
  </si>
  <si>
    <t>Auto faucets/flush valves</t>
  </si>
  <si>
    <t>Ceiling mics/speakers</t>
  </si>
  <si>
    <t>HVAC – Controls</t>
  </si>
  <si>
    <t>Actuators</t>
  </si>
  <si>
    <t>Thermostats</t>
  </si>
  <si>
    <t>Detectors</t>
  </si>
  <si>
    <t>Pull stations/modules</t>
  </si>
  <si>
    <t>Speakers/strobes</t>
  </si>
  <si>
    <t>Occupancy/daylight sensors</t>
  </si>
  <si>
    <t>Maglocks / strikes</t>
  </si>
  <si>
    <t>Sound Masking Emitters</t>
  </si>
  <si>
    <t>LCD monitor</t>
  </si>
  <si>
    <t>IT – Wireless</t>
  </si>
  <si>
    <t>Wi‑Fi access points</t>
  </si>
  <si>
    <t>Fixed IP cameras</t>
  </si>
  <si>
    <t>PTZ cameras</t>
  </si>
  <si>
    <t>IP phone</t>
  </si>
  <si>
    <t>Elecrical</t>
  </si>
  <si>
    <t>Phase Summary</t>
  </si>
  <si>
    <t>Phase</t>
  </si>
  <si>
    <t>Steps</t>
  </si>
  <si>
    <t>First_Step</t>
  </si>
  <si>
    <t>Last_Step</t>
  </si>
  <si>
    <t>0) Project Setup / Contract Admin (Pre-Design)</t>
  </si>
  <si>
    <t>1) Existing Conditions / Field Investigation</t>
  </si>
  <si>
    <t>2) Schematic Design (SD) – Concept + Basis of Design</t>
  </si>
  <si>
    <t>3) Design Development (DD) – Engineering + Coordination</t>
  </si>
  <si>
    <t>4) Construction Documents (CD) – Permit/Bid Set</t>
  </si>
  <si>
    <t>5) Permitting / Authority Review</t>
  </si>
  <si>
    <t>6) Bidding / Procurement Support (Hard Bid)</t>
  </si>
  <si>
    <t>7) Construction Administration (CA)</t>
  </si>
  <si>
    <t>8) Commissioning / Closeout (if in MEP scope)</t>
  </si>
  <si>
    <t>9) Optional / Additional Services (Explicit Adders)</t>
  </si>
  <si>
    <t>MEP Engineer Scope of Work – Line-Item Work Breakdown Structure</t>
  </si>
  <si>
    <t>Phase 0 - Project Setup</t>
  </si>
  <si>
    <t>Line Item</t>
  </si>
  <si>
    <t>Details</t>
  </si>
  <si>
    <t>Confirm basis of design inputs</t>
  </si>
  <si>
    <t>Program, occupancy/use, hours of operation; tenant/landlord responsibilities; utility info; existing as-builts</t>
  </si>
  <si>
    <t>Define codes + standards</t>
  </si>
  <si>
    <t>Applicable codes; local amendments; AHJ preferences</t>
  </si>
  <si>
    <t>Kickoff + execution plan</t>
  </si>
  <si>
    <t>Schedule/milestones; deliverables; communication plan; RFI workflow; review cycles</t>
  </si>
  <si>
    <t>MEP scope boundaries</t>
  </si>
  <si>
    <t>By MEP vs architect/structural/GC/trades; low-voltage, fire alarm, controls, TAB, commissioning roles</t>
  </si>
  <si>
    <t>Fee assumptions + exclusions</t>
  </si>
  <si>
    <t>Document inclusions/exclusions; additional services triggers</t>
  </si>
  <si>
    <t>Phase 1 - Existing Conditions / Field Investigation</t>
  </si>
  <si>
    <t>Site walk + documentation</t>
  </si>
  <si>
    <t>Verify MEP rooms, shafts, ceiling plenums, routes</t>
  </si>
  <si>
    <t>Survey of existing systems (if renovation)</t>
  </si>
  <si>
    <t>Equipment inventory; nameplate data; panel schedules; piping sizes</t>
  </si>
  <si>
    <t>Utility verification</t>
  </si>
  <si>
    <t>Electrical service/voltage; gas; domestic water; sanitary; storm</t>
  </si>
  <si>
    <t>Deficiency log / risk register</t>
  </si>
  <si>
    <t>Capacity shortfalls; code issues; access/clearance constraints</t>
  </si>
  <si>
    <t>Existing load/capacity analysis</t>
  </si>
  <si>
    <t>Electrical spare capacity; HVAC capacity vs tenant loads; plumbing demand capacity</t>
  </si>
  <si>
    <t>Phase 2 - Existing Conditions / Field Investigation</t>
  </si>
  <si>
    <t>Define design criteria (BOD)</t>
  </si>
  <si>
    <t>Temperature, ventilation rates, lighting levels, power densities</t>
  </si>
  <si>
    <t>Preliminary load calculations</t>
  </si>
  <si>
    <t>HVAC block loads; electrical load summary; plumbing fixture counts + demand</t>
  </si>
  <si>
    <t>System selection / narratives</t>
  </si>
  <si>
    <t>Mechanical system type; electrical distribution concept; plumbing approach</t>
  </si>
  <si>
    <t>Space planning requirements</t>
  </si>
  <si>
    <t>MEP room sizing; service clearances; access</t>
  </si>
  <si>
    <t>Preliminary riser/pathway concepts</t>
  </si>
  <si>
    <t>Shafts, risers, major conduit/piping routes</t>
  </si>
  <si>
    <t>SD drawings (as applicable)</t>
  </si>
  <si>
    <t>Concept one-lines; key plans; preliminary layouts</t>
  </si>
  <si>
    <t>SD coordination</t>
  </si>
  <si>
    <t>Flag major clashes/space constraints</t>
  </si>
  <si>
    <t>SD cost/scope alignment support</t>
  </si>
  <si>
    <t>Provide allowances/quantities for early estimating</t>
  </si>
  <si>
    <t>Phase 3 - Design Development (DD) – Engineering + Coordination</t>
  </si>
  <si>
    <t>Refined calculations</t>
  </si>
  <si>
    <t>Room-by-room loads; ventilation/exhaust; electrical panel loads; preliminary fault current; plumbing sizing</t>
  </si>
  <si>
    <t>Equipment selection</t>
  </si>
  <si>
    <t>Mechanical equipment schedules; electrical gear selection; plumbing equipment selection</t>
  </si>
  <si>
    <t>Controls concept</t>
  </si>
  <si>
    <t>Sequences of operation; points list (as applicable)</t>
  </si>
  <si>
    <t>Lighting + controls design</t>
  </si>
  <si>
    <t>Fixture layout strategy; control zoning; daylight/occupancy logic</t>
  </si>
  <si>
    <t>Distribution design</t>
  </si>
  <si>
    <t>Duct/piping sizing + routing; feeder/branching; plumbing mains/branches and venting</t>
  </si>
  <si>
    <t>Interdisciplinary coordination</t>
  </si>
  <si>
    <t>Ceiling coordination; draft sleeve/openings list; fire-rated penetration strategy</t>
  </si>
  <si>
    <t>DD deliverables</t>
  </si>
  <si>
    <t>Updated drawings; risers/diagrams; schedules; outline specs</t>
  </si>
  <si>
    <t>DD QA/QC review</t>
  </si>
  <si>
    <t>Internal checks for coordination, code compliance, constructability</t>
  </si>
  <si>
    <t>Phase 4 - Construction Documents (CD) – Permit/Bid Set</t>
  </si>
  <si>
    <t>Final engineering calculations</t>
  </si>
  <si>
    <t>Finalize HVAC; electrical load calcs + schedules; protection/coordination intent; plumbing sizing</t>
  </si>
  <si>
    <t>Final plans and details</t>
  </si>
  <si>
    <t>Mechanical plans/risers/details; electrical plans/one-lines/schedules; plumbing plans/risers/details</t>
  </si>
  <si>
    <t>Specifications (Div 22/23/26 ± 27/28)</t>
  </si>
  <si>
    <t>Performance, products, execution, testing</t>
  </si>
  <si>
    <t>Equipment and device coordination</t>
  </si>
  <si>
    <t>Connections (voltage/MCA/MOCP/BTU/flows); access/clearances</t>
  </si>
  <si>
    <t>Final sleeve/penetration documentation</t>
  </si>
  <si>
    <t>Sleeve plans; opening sizes; firestopping requirements</t>
  </si>
  <si>
    <t>Bid alternates / options (if required)</t>
  </si>
  <si>
    <t>Define add/deduct scopes</t>
  </si>
  <si>
    <t>Engineer’s estimate support (optional)</t>
  </si>
  <si>
    <t>Quantity support / clarifications for estimator</t>
  </si>
  <si>
    <t>CD QA/QC + stamping</t>
  </si>
  <si>
    <t>Discipline lead review; code checklist; seal/stamp where required</t>
  </si>
  <si>
    <t>Phase 5 - Permitting / Authority Review</t>
  </si>
  <si>
    <t>Permit application support</t>
  </si>
  <si>
    <t>Forms; energy compliance documentation; calculations package</t>
  </si>
  <si>
    <t>Plan review comment responses</t>
  </si>
  <si>
    <t>Written responses; drawing revisions</t>
  </si>
  <si>
    <t>Resubmittals</t>
  </si>
  <si>
    <t>Updated sheets; revision tracking; final approvals</t>
  </si>
  <si>
    <t>Phase 6 - Bidding / Procurement Support (Hard Bid)</t>
  </si>
  <si>
    <t>Issue for bid</t>
  </si>
  <si>
    <t>Addenda coordination</t>
  </si>
  <si>
    <t>Bidder RFIs</t>
  </si>
  <si>
    <t>Written responses; addenda as needed</t>
  </si>
  <si>
    <t>Bid walkthrough support (optional)</t>
  </si>
  <si>
    <t>Attend walkthrough; capture questions</t>
  </si>
  <si>
    <t>Bid leveling support (optional)</t>
  </si>
  <si>
    <t>Clarify scope gaps; alternates; substitutions</t>
  </si>
  <si>
    <t>Phase 7 - Construction Administration (CA)</t>
  </si>
  <si>
    <t>Submittal review</t>
  </si>
  <si>
    <t>Equipment, fixtures, controls, panels, valves, dampers, etc.</t>
  </si>
  <si>
    <t>RFI responses</t>
  </si>
  <si>
    <t>Respond, document, and track</t>
  </si>
  <si>
    <t>Shop/coordination drawing review</t>
  </si>
  <si>
    <t>Major routing, clearances, conflicts</t>
  </si>
  <si>
    <t>Site visits (periodic)</t>
  </si>
  <si>
    <t>Progress observations; field reports</t>
  </si>
  <si>
    <t>Change management</t>
  </si>
  <si>
    <t>Evaluate change proposals; CCD/ASI as needed</t>
  </si>
  <si>
    <t>Field issue resolution</t>
  </si>
  <si>
    <t>Constructability conflicts; unforeseen conditions</t>
  </si>
  <si>
    <t>Testing witness support (as required)</t>
  </si>
  <si>
    <t>Observe start-up / acceptance testing as specified</t>
  </si>
  <si>
    <t>As-built review</t>
  </si>
  <si>
    <t>Record drawings and O&amp;M completeness</t>
  </si>
  <si>
    <t>Punchlist support</t>
  </si>
  <si>
    <t>Create/verify MEP punchlist and closeout</t>
  </si>
  <si>
    <t>Phase 8 - Commissioning / Closeout (if in MEP scope)</t>
  </si>
  <si>
    <t>Commissioning plan support</t>
  </si>
  <si>
    <t>Support Cx plan and roles</t>
  </si>
  <si>
    <t>Functional performance testing support</t>
  </si>
  <si>
    <t>Participate in FPT; document results</t>
  </si>
  <si>
    <t>TAB coordination and review (mechanical)</t>
  </si>
  <si>
    <t>Coordinate TAB; review reports</t>
  </si>
  <si>
    <t>Training sessions</t>
  </si>
  <si>
    <t>Owner training on systems/controls</t>
  </si>
  <si>
    <t>Final closeout</t>
  </si>
  <si>
    <t>O&amp;M acceptance; warranties list; final sign-offs</t>
  </si>
  <si>
    <t>Phase 9 - Optional</t>
  </si>
  <si>
    <t>Arc flash study / protective device coordination / selective coordination</t>
  </si>
  <si>
    <t>Only if authorized; define deliverables and fee</t>
  </si>
  <si>
    <t>BIM modeling (LOD 300/350) + clash resolution</t>
  </si>
  <si>
    <t>Detailed cost estimating / value engineering workshops</t>
  </si>
  <si>
    <t>Shutdown planning / after-hours phasing for occupied buildings</t>
  </si>
  <si>
    <t>Enhanced commissioning / M&amp;V (measurement &amp; verification)</t>
  </si>
  <si>
    <t>LEED/WELL documentation support</t>
  </si>
  <si>
    <t>Low-voltage (Div 27/28) design and/or delegated fire alarm design</t>
  </si>
  <si>
    <t>Labor Role</t>
  </si>
  <si>
    <t>Avg Rate ($/hr)</t>
  </si>
  <si>
    <t>Formula</t>
  </si>
  <si>
    <t>Electrician</t>
  </si>
  <si>
    <t>Project Manager / Construction Manager</t>
  </si>
  <si>
    <t>Electrical Designer / Drafter</t>
  </si>
  <si>
    <t>Construction Laborer</t>
  </si>
  <si>
    <t>Low-Voltage / Fire Alarm Tech</t>
  </si>
  <si>
    <t>Sample Scope</t>
  </si>
  <si>
    <t>Description of Installation</t>
  </si>
  <si>
    <t>Quantity</t>
  </si>
  <si>
    <t>Unit</t>
  </si>
  <si>
    <t>Labor Units (hrs/unit)</t>
  </si>
  <si>
    <t>Labor Rate ($/hr)</t>
  </si>
  <si>
    <t>Labor Total</t>
  </si>
  <si>
    <t>Material Unit Cost ($)</t>
  </si>
  <si>
    <t>Material Total</t>
  </si>
  <si>
    <t>Line Item Total</t>
  </si>
  <si>
    <t>Notes</t>
  </si>
  <si>
    <t>Milestone</t>
  </si>
  <si>
    <t>Labor Type</t>
  </si>
  <si>
    <t>1) Preconstruction / Admin</t>
  </si>
  <si>
    <t>Labor</t>
  </si>
  <si>
    <t>Kickoff meeting, confirm scope boundaries, coordination plan</t>
  </si>
  <si>
    <t>lot</t>
  </si>
  <si>
    <t>Include trade coordination cadence</t>
  </si>
  <si>
    <t>Kickoff complete</t>
  </si>
  <si>
    <t>Site walk / existing conditions verification</t>
  </si>
  <si>
    <t>Verify routes, core needs, clearances</t>
  </si>
  <si>
    <t>Site walk complete</t>
  </si>
  <si>
    <t>Submittals &amp; procurement log (panels, transformer, fixtures, controls)</t>
  </si>
  <si>
    <t>Submittals, review cycles</t>
  </si>
  <si>
    <t>Submittals approved</t>
  </si>
  <si>
    <t>BIM/coordination drawings (if required)</t>
  </si>
  <si>
    <t>Only if contract requires</t>
  </si>
  <si>
    <t>Coordination model complete</t>
  </si>
  <si>
    <t>Mobilization, safety plan, daily cleanup/housekeeping</t>
  </si>
  <si>
    <t>Project admin allowance</t>
  </si>
  <si>
    <t>Mobilization complete</t>
  </si>
  <si>
    <t>2) Permitting</t>
  </si>
  <si>
    <t>Provide all necessary electrical permits / coordinate inspections</t>
  </si>
  <si>
    <t>Fees by others unless stated</t>
  </si>
  <si>
    <t>Permit issued</t>
  </si>
  <si>
    <t>Material</t>
  </si>
  <si>
    <t>Permit fees (allowance)</t>
  </si>
  <si>
    <t>Enter actual fees</t>
  </si>
  <si>
    <t>Permit fees paid</t>
  </si>
  <si>
    <t>3) MER → Tenant Floor (Primary Distribution)</t>
  </si>
  <si>
    <t>Labor and Materials</t>
  </si>
  <si>
    <t>Provide/install feeder breaker in MER gear (size/series per gear)</t>
  </si>
  <si>
    <t>ea</t>
  </si>
  <si>
    <t>Confirm spare space; verify AIC</t>
  </si>
  <si>
    <t>Breaker installed</t>
  </si>
  <si>
    <t>Install feeder conduit from MER through central riser to tenant floor (e.g., 4" EMT/IMC)</t>
  </si>
  <si>
    <t>ft</t>
  </si>
  <si>
    <t>Distance includes vertical + horizontal + waste</t>
  </si>
  <si>
    <t>Feeder conduit complete</t>
  </si>
  <si>
    <t>Install feeder conductors (3P+N+G) in feeder conduit</t>
  </si>
  <si>
    <t>Conductor size to be engineered/confirmed</t>
  </si>
  <si>
    <t>Feeder conductors pulled</t>
  </si>
  <si>
    <t>Install pull boxes / junction cabinets along route</t>
  </si>
  <si>
    <t>As required by bend/length limits</t>
  </si>
  <si>
    <t>Pull boxes installed</t>
  </si>
  <si>
    <t>Core drill penetrations for feeder pathway (if required)</t>
  </si>
  <si>
    <t>Confirm if sleeves exist / who cores</t>
  </si>
  <si>
    <t>Cores complete</t>
  </si>
  <si>
    <t>Firestop penetrations (UL listed system)</t>
  </si>
  <si>
    <t>Clarify responsibility</t>
  </si>
  <si>
    <t>Firestopping complete</t>
  </si>
  <si>
    <t>Terminate feeder at MER gear</t>
  </si>
  <si>
    <t>end</t>
  </si>
  <si>
    <t>Torque per manufacturer</t>
  </si>
  <si>
    <t>MER termination complete</t>
  </si>
  <si>
    <t>Terminate feeder at tenant main panel</t>
  </si>
  <si>
    <t>Tenant termination complete</t>
  </si>
  <si>
    <t>Grounding and bonding for feeder/conduit</t>
  </si>
  <si>
    <t>Bushings, jumpers, ground bar as needed</t>
  </si>
  <si>
    <t>Grounding complete</t>
  </si>
  <si>
    <t>Label feeder, pull boxes, panels per labeling standard</t>
  </si>
  <si>
    <t>Panel directories included elsewhere</t>
  </si>
  <si>
    <t>Labeling complete</t>
  </si>
  <si>
    <t>4) Tenant Electrical Room – Main Distribution &amp; Step-Down</t>
  </si>
  <si>
    <t>Provide/install tenant main panelboard 480/277V (400A class)</t>
  </si>
  <si>
    <t>Main breaker or MLO; coordinate AIC</t>
  </si>
  <si>
    <t>Main panel set</t>
  </si>
  <si>
    <t>Provide/install dry-type transformer 480→208/120 (kVA per final calc)</t>
  </si>
  <si>
    <t>Include vibration pads if required</t>
  </si>
  <si>
    <t>Transformer set</t>
  </si>
  <si>
    <t>Provide/install lighting panelboard 277V (225A class)</t>
  </si>
  <si>
    <t>Feeds lighting + emergency inverter</t>
  </si>
  <si>
    <t>Lighting panel set</t>
  </si>
  <si>
    <t>Provide/install mechanical panelboard 480/277V (225A class)</t>
  </si>
  <si>
    <t>Feeds HVAC loads as needed</t>
  </si>
  <si>
    <t>Mech panel set</t>
  </si>
  <si>
    <t>Provide/install power panelboard PP-1 208/120V (225A class)</t>
  </si>
  <si>
    <t>General receptacles + equipment</t>
  </si>
  <si>
    <t>PP-1 set</t>
  </si>
  <si>
    <t>Provide/install power panelboard PP-2 208/120V (225A class)</t>
  </si>
  <si>
    <t>Conference/AV/IT + spare</t>
  </si>
  <si>
    <t>PP-2 set</t>
  </si>
  <si>
    <t>Install feeder: main panel → transformer (primary)</t>
  </si>
  <si>
    <t>Conduit+wire allowance; adjust after layout</t>
  </si>
  <si>
    <t>Primary xfmr feeder complete</t>
  </si>
  <si>
    <t>Install feeder: transformer → PP panels (secondary)</t>
  </si>
  <si>
    <t>Secondary feeders complete</t>
  </si>
  <si>
    <t>Install feeder: main panel → lighting panel</t>
  </si>
  <si>
    <t>Allowance</t>
  </si>
  <si>
    <t>Lighting panel feeder complete</t>
  </si>
  <si>
    <t>Install feeder: main panel → mechanical panel</t>
  </si>
  <si>
    <t>Mech panel feeder complete</t>
  </si>
  <si>
    <t>Panel schedules / circuit directories</t>
  </si>
  <si>
    <t>Final typed directories</t>
  </si>
  <si>
    <t>Directories complete</t>
  </si>
  <si>
    <t>5) Lighting (277V) – Fixtures, Branching, Controls</t>
  </si>
  <si>
    <t>Provide LED 2x4 troffer fixtures</t>
  </si>
  <si>
    <t>Fixture schedule governs</t>
  </si>
  <si>
    <t>Fixtures delivered</t>
  </si>
  <si>
    <t>Install LED 2x4 troffer fixtures</t>
  </si>
  <si>
    <t>Mount, connect, aim/level</t>
  </si>
  <si>
    <t>Troffers installed</t>
  </si>
  <si>
    <t>Provide LED downlight fixtures</t>
  </si>
  <si>
    <t>Downlights delivered</t>
  </si>
  <si>
    <t>Install LED downlight fixtures</t>
  </si>
  <si>
    <t>Cut-in/rough-in varies</t>
  </si>
  <si>
    <t>Downlights installed</t>
  </si>
  <si>
    <t>Provide LED exit signs (battery)</t>
  </si>
  <si>
    <t>Coordinate egress locations</t>
  </si>
  <si>
    <t>Exit signs delivered</t>
  </si>
  <si>
    <t>Install LED exit signs</t>
  </si>
  <si>
    <t>Mount and connect</t>
  </si>
  <si>
    <t>Exit signs installed</t>
  </si>
  <si>
    <t>Provide emergency inverter units</t>
  </si>
  <si>
    <t>As specified</t>
  </si>
  <si>
    <t>Inverters delivered</t>
  </si>
  <si>
    <t>Install emergency inverter units</t>
  </si>
  <si>
    <t>Mount, connect, test</t>
  </si>
  <si>
    <t>Inverters installed</t>
  </si>
  <si>
    <t>Install lighting branch wiring (MC cable whips/homers)</t>
  </si>
  <si>
    <t>Lengths are allowance; adjust with plan</t>
  </si>
  <si>
    <t>Lighting rough-in complete</t>
  </si>
  <si>
    <t>Provide occupancy/daylight sensors</t>
  </si>
  <si>
    <t>Per lighting controls design</t>
  </si>
  <si>
    <t>Sensors delivered</t>
  </si>
  <si>
    <t>Install occupancy/daylight sensors</t>
  </si>
  <si>
    <t>Mount + wire</t>
  </si>
  <si>
    <t>Sensors installed</t>
  </si>
  <si>
    <t>Provide lighting controls system hardware (panels/gateways/relays)</t>
  </si>
  <si>
    <t>System-specific; may be by controls vendor</t>
  </si>
  <si>
    <t>Controls hardware delivered</t>
  </si>
  <si>
    <t>Controls integration, addressing, functional test</t>
  </si>
  <si>
    <t>Commissioning support</t>
  </si>
  <si>
    <t>Lighting controls commissioned</t>
  </si>
  <si>
    <t>6) General Power (208/120V) – Floor Boxes, Receptacles, Branch Circuits</t>
  </si>
  <si>
    <t>Provide floor box assemblies (box + trim + cover)</t>
  </si>
  <si>
    <t>Coordinate with furniture/layout</t>
  </si>
  <si>
    <t>Floor boxes delivered</t>
  </si>
  <si>
    <t>Rough-in floor boxes</t>
  </si>
  <si>
    <t>Coordinate with floor system</t>
  </si>
  <si>
    <t>Floor box rough-in complete</t>
  </si>
  <si>
    <t>Trim-out floor boxes</t>
  </si>
  <si>
    <t>Devices/plates</t>
  </si>
  <si>
    <t>Floor box trim complete</t>
  </si>
  <si>
    <t>Provide duplex receptacles for floor boxes (2 per floor box)</t>
  </si>
  <si>
    <t>Commercial grade</t>
  </si>
  <si>
    <t>Floor receptacles delivered</t>
  </si>
  <si>
    <t>Install duplex receptacles for floor boxes</t>
  </si>
  <si>
    <t>Terminate and test</t>
  </si>
  <si>
    <t>Floor receptacles installed</t>
  </si>
  <si>
    <t>Provide wall duplex receptacles</t>
  </si>
  <si>
    <t>Wall receptacles delivered</t>
  </si>
  <si>
    <t>Install wall duplex receptacles</t>
  </si>
  <si>
    <t>Wall receptacles installed</t>
  </si>
  <si>
    <t>Install branch conduit (e.g., 3/4" EMT) for receptacles + dedicated circuits</t>
  </si>
  <si>
    <t>Allowance; refine with takeoff</t>
  </si>
  <si>
    <t>Branch conduit complete</t>
  </si>
  <si>
    <t>Install branch conductors (#12 equiv. hot/neutral/ground)</t>
  </si>
  <si>
    <t>Branch wiring complete</t>
  </si>
  <si>
    <t>Install 20A 1-pole breakers in PP panels</t>
  </si>
  <si>
    <t>Proxy count; adjust after circuiting</t>
  </si>
  <si>
    <t>Breakers installed</t>
  </si>
  <si>
    <t>Install 30A 2-pole breakers in PP panels</t>
  </si>
  <si>
    <t>For 208V dedicated loads</t>
  </si>
  <si>
    <t>Dedicated breakers installed</t>
  </si>
  <si>
    <t>7) Mechanical/Plumbing Power (480/277V) – Connections</t>
  </si>
  <si>
    <t>Provide/install disconnect switches for exhaust fans</t>
  </si>
  <si>
    <t>As required by code/location</t>
  </si>
  <si>
    <t>Exhaust disconnects installed</t>
  </si>
  <si>
    <t>Provide/install disconnect switches for fan coil units</t>
  </si>
  <si>
    <t>If not factory provided</t>
  </si>
  <si>
    <t>FCU disconnects installed</t>
  </si>
  <si>
    <t>Branch conduit/wire to VAVs, fan coils, exhaust fans (allowance)</t>
  </si>
  <si>
    <t>Refine with equipment plan</t>
  </si>
  <si>
    <t>Mech rough-in complete</t>
  </si>
  <si>
    <t>8) Testing, Energization, Closeout</t>
  </si>
  <si>
    <t>Megger/insulation testing of feeders and critical circuits</t>
  </si>
  <si>
    <t>Include reports as required</t>
  </si>
  <si>
    <t>Testing complete</t>
  </si>
  <si>
    <t>Torque verification of terminations + labeling</t>
  </si>
  <si>
    <t>Torque log if required</t>
  </si>
  <si>
    <t>Torque/labels complete</t>
  </si>
  <si>
    <t>Functional verification: lighting controls + emergency inverter</t>
  </si>
  <si>
    <t>Coordinate witness testing</t>
  </si>
  <si>
    <t>Functional tests complete</t>
  </si>
  <si>
    <t>As-builts (redlines) + O&amp;M manuals compilation support</t>
  </si>
  <si>
    <t>Closeout package</t>
  </si>
  <si>
    <t>As-builts/O&amp;M complete</t>
  </si>
  <si>
    <t>Owner training session support</t>
  </si>
  <si>
    <t>Systems overview</t>
  </si>
  <si>
    <t>Training complete</t>
  </si>
  <si>
    <t>Punchlist corrections + final walk</t>
  </si>
  <si>
    <t>Punchlist closed</t>
  </si>
  <si>
    <t>TOTAL</t>
  </si>
  <si>
    <t>Low Voltage Technician</t>
  </si>
  <si>
    <t>Fiber Technician / Splicer</t>
  </si>
  <si>
    <t>Network &amp; Systems Administrator</t>
  </si>
  <si>
    <t>Material Part #</t>
  </si>
  <si>
    <t>Coordination cadence + comms plan</t>
  </si>
  <si>
    <t>Site survey / walkdown (IDF/MDF locations, pathways, ceiling conditions)</t>
  </si>
  <si>
    <t>Verify routes, firestop needs, access windows</t>
  </si>
  <si>
    <t>Site survey complete</t>
  </si>
  <si>
    <t>Labeling standard + cable schedule + port map (draft)</t>
  </si>
  <si>
    <t>Defines label format, rack elevations, patching plan</t>
  </si>
  <si>
    <t>Labeling plan complete</t>
  </si>
  <si>
    <t>Submittals &amp; procurement log (cable, racks, panels, jacks, patch cords)</t>
  </si>
  <si>
    <t>Track lead times</t>
  </si>
  <si>
    <t>Mobilization, safety plan, staging, daily housekeeping</t>
  </si>
  <si>
    <t>2) Pathways &amp; Support</t>
  </si>
  <si>
    <t>Provide/install J-hooks and supports for horizontal cabling</t>
  </si>
  <si>
    <t>JHOOK-2IN</t>
  </si>
  <si>
    <t>Spacing per code/manufacturer</t>
  </si>
  <si>
    <t>J-hooks installed</t>
  </si>
  <si>
    <t>Provide/install cable tray (12") sections including fittings</t>
  </si>
  <si>
    <t>TRAY-12IN</t>
  </si>
  <si>
    <t>Includes splice kits/hardware</t>
  </si>
  <si>
    <t>Cable tray complete</t>
  </si>
  <si>
    <t>Core drill + sleeve LV penetrations (as required)</t>
  </si>
  <si>
    <t>LV-SLEEVE-4IN</t>
  </si>
  <si>
    <t>Coordinate with GC for coring responsibility</t>
  </si>
  <si>
    <t>Penetrations complete</t>
  </si>
  <si>
    <t>Firestop LV penetrations (UL listed system)</t>
  </si>
  <si>
    <t>FIRESTOP-KIT</t>
  </si>
  <si>
    <t>UL system per wall type</t>
  </si>
  <si>
    <t>3) MDF/IDF Buildout (Racks, Backboards, Grounding)</t>
  </si>
  <si>
    <t>Provide/install 2-post floor rack (7 ft) incl. anchoring</t>
  </si>
  <si>
    <t>RACK-2POST-7FT</t>
  </si>
  <si>
    <t>For MDF + IDFs</t>
  </si>
  <si>
    <t>Racks installed</t>
  </si>
  <si>
    <t>Provide/install wall-mount cabinet (12U) for remote IDF (if needed)</t>
  </si>
  <si>
    <t>CAB-12U</t>
  </si>
  <si>
    <t>Optional based on design</t>
  </si>
  <si>
    <t>Cabinets installed</t>
  </si>
  <si>
    <t>Provide/install ladder rack above racks (12")</t>
  </si>
  <si>
    <t>LADDER-12IN</t>
  </si>
  <si>
    <t>Includes brackets/couplers</t>
  </si>
  <si>
    <t>Ladder rack complete</t>
  </si>
  <si>
    <t>Provide vertical cable managers (7 ft)</t>
  </si>
  <si>
    <t>VERT-MGR-7FT</t>
  </si>
  <si>
    <t>Qty varies by rack count</t>
  </si>
  <si>
    <t>Install vertical cable managers</t>
  </si>
  <si>
    <t>Mount to racks</t>
  </si>
  <si>
    <t>Provide Cat6 48-port patch panels</t>
  </si>
  <si>
    <t>PATCHPANEL-CAT6-48P</t>
  </si>
  <si>
    <t>MDF/IDF total ports allowance</t>
  </si>
  <si>
    <t>Install Cat6 patch panels in racks</t>
  </si>
  <si>
    <t>Includes dressing/hardware</t>
  </si>
  <si>
    <t>Provide Cat6 keystone jacks</t>
  </si>
  <si>
    <t>JACK-CAT6</t>
  </si>
  <si>
    <t>Provide 2-port faceplates</t>
  </si>
  <si>
    <t>FACEPLATE-2P</t>
  </si>
  <si>
    <t>Provide cable label kit (thermal labels + wrap)</t>
  </si>
  <si>
    <t>LABEL-KIT</t>
  </si>
  <si>
    <t>Grounding/bonding for racks (busbar, lugs, bond jumpers)</t>
  </si>
  <si>
    <t>RACK-GND-KIT</t>
  </si>
  <si>
    <t>4) Horizontal Cabling (Cat6)</t>
  </si>
  <si>
    <t>Provide Cat6 plenum cable (1000 ft boxes)</t>
  </si>
  <si>
    <t>box</t>
  </si>
  <si>
    <t>CAT6-PLENUM-1000FT</t>
  </si>
  <si>
    <t>Qty depends on cable lengths</t>
  </si>
  <si>
    <t>Pull &amp; terminate Cat6 drops (2 cables per outlet) incl. patch panel + work area</t>
  </si>
  <si>
    <t>outlet</t>
  </si>
  <si>
    <t>Includes dressing, testing prep</t>
  </si>
  <si>
    <t>Horizontal cabling installed</t>
  </si>
  <si>
    <t>Provide Cat6 patch cords 7 ft (user side)</t>
  </si>
  <si>
    <t>PATCHCORD-CAT6-7FT</t>
  </si>
  <si>
    <t>Provide Cat6 patch cords 3 ft (rack side)</t>
  </si>
  <si>
    <t>PATCHCORD-CAT6-3FT</t>
  </si>
  <si>
    <t>5) Wireless (Wi-Fi) &amp; Specialty Drops</t>
  </si>
  <si>
    <t>Install Wi-Fi AP Cat6 drops (home run to IDF)</t>
  </si>
  <si>
    <t>Ceiling locations per plan</t>
  </si>
  <si>
    <t>AP drops complete</t>
  </si>
  <si>
    <t>Provide AP mounting brackets (if required)</t>
  </si>
  <si>
    <t>WAP-BRKT</t>
  </si>
  <si>
    <t>6) Fiber Backbone (MDF↔IDF)</t>
  </si>
  <si>
    <t>Provide/install OM4 12-strand fiber trunk between MDF and IDFs</t>
  </si>
  <si>
    <t>run</t>
  </si>
  <si>
    <t>FIBER-OM4-12S</t>
  </si>
  <si>
    <t>Length/spec to be confirmed</t>
  </si>
  <si>
    <t>Fiber trunks installed</t>
  </si>
  <si>
    <t>Provide fiber enclosure/panel (rack mount) with LC adapters</t>
  </si>
  <si>
    <t>FIBER-PANEL-LC</t>
  </si>
  <si>
    <t>Terminate fiber (LC) at panels (pigtail+splice)</t>
  </si>
  <si>
    <t>term</t>
  </si>
  <si>
    <t>12-strand x 2 ends x 2 runs</t>
  </si>
  <si>
    <t>Provide OM4 LC pigtails</t>
  </si>
  <si>
    <t>PIGTAIL-LC-OM4</t>
  </si>
  <si>
    <t>7) Testing, Certification, Closeout</t>
  </si>
  <si>
    <t>Test &amp; certify Cat6 links (Fluke reports)</t>
  </si>
  <si>
    <t>link</t>
  </si>
  <si>
    <t>Includes outlets + APs + spares</t>
  </si>
  <si>
    <t>Compile test results + as-builts + rack elevations</t>
  </si>
  <si>
    <t>Deliver PDF/CSV</t>
  </si>
  <si>
    <t>As-builts delivered</t>
  </si>
  <si>
    <t>Owner/IT turnover meeting + labeling walkdown</t>
  </si>
  <si>
    <t>Turnover complete</t>
  </si>
  <si>
    <t>Optional / Adders (if in scope)</t>
  </si>
  <si>
    <t>Install IP cameras incl. Cat6 drop + mounting (allowance)</t>
  </si>
  <si>
    <t>CAM-POE-TBD</t>
  </si>
  <si>
    <t>Camera model by owner</t>
  </si>
  <si>
    <t>Install access control door hardware + cabling (allowance)</t>
  </si>
  <si>
    <t>door</t>
  </si>
  <si>
    <t>AC-DOOR-KIT-TBD</t>
  </si>
  <si>
    <t>Controller/readers by owner</t>
  </si>
  <si>
    <t>A/C Parts</t>
  </si>
  <si>
    <t>Low Voltage Parts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</si>
</sst>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\$#,##0.00"/>
  </numFmts>
  <fonts count="1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9" tint="-0.499984740745262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1F4E79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</font>
    <font>
      <b/>
      <i/>
      <sz val="11"/>
      <color theme="1"/>
      <name val="Calibri"/>
      <family val="2"/>
      <scheme val="minor"/>
    </font>
    <font>
      <b/>
      <i/>
      <sz val="11"/>
      <color rgb="FF1F4E79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2EFDA"/>
      </patternFill>
    </fill>
    <fill>
      <patternFill patternType="solid">
        <fgColor rgb="FFD9E1F2"/>
      </patternFill>
    </fill>
    <fill>
      <patternFill patternType="solid">
        <fgColor rgb="FFFCE4D6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/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 style="thin">
        <color rgb="FFD0D0D0"/>
      </bottom>
      <diagonal/>
    </border>
    <border>
      <left/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/>
      <bottom style="thin">
        <color rgb="FFD0D0D0"/>
      </bottom>
      <diagonal/>
    </border>
    <border>
      <left/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 style="thin">
        <color rgb="FFD0D0D0"/>
      </left>
      <right/>
      <top/>
      <bottom/>
      <diagonal/>
    </border>
    <border>
      <left/>
      <right style="thin">
        <color rgb="FFD0D0D0"/>
      </right>
      <top/>
      <bottom/>
      <diagonal/>
    </border>
    <border>
      <left/>
      <right/>
      <top style="thin">
        <color rgb="FFD0D0D0"/>
      </top>
      <bottom style="thin">
        <color rgb="FFD0D0D0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62">
    <xf numFmtId="0" fontId="0" fillId="0" borderId="0" xfId="0"/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3" fillId="0" borderId="6" xfId="0" applyFont="1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12" xfId="0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1" fillId="0" borderId="0" xfId="0" applyFont="1"/>
    <xf numFmtId="0" fontId="6" fillId="0" borderId="1" xfId="0" applyFont="1" applyBorder="1" applyAlignment="1">
      <alignment vertical="top" wrapText="1"/>
    </xf>
    <xf numFmtId="0" fontId="7" fillId="0" borderId="0" xfId="0" applyFont="1"/>
    <xf numFmtId="0" fontId="3" fillId="2" borderId="1" xfId="0" applyFont="1" applyFill="1" applyBorder="1" applyAlignment="1">
      <alignment vertical="top" wrapText="1"/>
    </xf>
    <xf numFmtId="0" fontId="6" fillId="2" borderId="1" xfId="0" applyFont="1" applyFill="1" applyBorder="1" applyAlignment="1">
      <alignment vertical="top" wrapText="1"/>
    </xf>
    <xf numFmtId="0" fontId="6" fillId="4" borderId="0" xfId="0" applyFont="1" applyFill="1" applyAlignment="1">
      <alignment horizontal="center" vertical="center" wrapText="1"/>
    </xf>
    <xf numFmtId="2" fontId="0" fillId="0" borderId="1" xfId="0" applyNumberForma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0" fontId="10" fillId="0" borderId="0" xfId="0" applyFont="1"/>
    <xf numFmtId="0" fontId="0" fillId="0" borderId="13" xfId="0" applyBorder="1" applyAlignment="1">
      <alignment vertical="top" wrapText="1"/>
    </xf>
    <xf numFmtId="0" fontId="0" fillId="0" borderId="0" xfId="0" applyAlignment="1">
      <alignment vertical="top" wrapText="1"/>
    </xf>
    <xf numFmtId="0" fontId="6" fillId="0" borderId="5" xfId="0" applyFont="1" applyBorder="1" applyAlignment="1">
      <alignment vertical="top" wrapText="1"/>
    </xf>
    <xf numFmtId="0" fontId="6" fillId="5" borderId="0" xfId="0" applyFont="1" applyFill="1" applyAlignment="1">
      <alignment horizontal="center" vertical="center" wrapText="1"/>
    </xf>
    <xf numFmtId="44" fontId="0" fillId="0" borderId="0" xfId="1" applyFont="1"/>
    <xf numFmtId="0" fontId="6" fillId="0" borderId="1" xfId="0" applyFont="1" applyBorder="1" applyAlignment="1">
      <alignment vertical="center"/>
    </xf>
    <xf numFmtId="0" fontId="7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center"/>
    </xf>
    <xf numFmtId="0" fontId="6" fillId="6" borderId="0" xfId="0" applyFont="1" applyFill="1" applyAlignment="1">
      <alignment horizontal="center" vertical="center" wrapText="1"/>
    </xf>
    <xf numFmtId="44" fontId="7" fillId="0" borderId="0" xfId="0" applyNumberFormat="1" applyFont="1"/>
    <xf numFmtId="0" fontId="9" fillId="5" borderId="5" xfId="0" applyFont="1" applyFill="1" applyBorder="1" applyAlignment="1">
      <alignment vertical="center"/>
    </xf>
    <xf numFmtId="0" fontId="9" fillId="5" borderId="14" xfId="0" applyFont="1" applyFill="1" applyBorder="1" applyAlignment="1">
      <alignment vertical="center"/>
    </xf>
    <xf numFmtId="2" fontId="9" fillId="5" borderId="14" xfId="0" applyNumberFormat="1" applyFont="1" applyFill="1" applyBorder="1" applyAlignment="1">
      <alignment vertical="center"/>
    </xf>
    <xf numFmtId="2" fontId="6" fillId="0" borderId="1" xfId="0" applyNumberFormat="1" applyFont="1" applyBorder="1" applyAlignment="1">
      <alignment vertical="top" wrapText="1"/>
    </xf>
    <xf numFmtId="164" fontId="6" fillId="0" borderId="1" xfId="0" applyNumberFormat="1" applyFont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  <xf numFmtId="164" fontId="1" fillId="0" borderId="1" xfId="0" applyNumberFormat="1" applyFont="1" applyBorder="1" applyAlignment="1">
      <alignment vertical="top" wrapText="1"/>
    </xf>
    <xf numFmtId="164" fontId="12" fillId="0" borderId="1" xfId="0" applyNumberFormat="1" applyFont="1" applyBorder="1" applyAlignment="1">
      <alignment vertical="top" wrapText="1"/>
    </xf>
    <xf numFmtId="0" fontId="13" fillId="5" borderId="14" xfId="0" applyFont="1" applyFill="1" applyBorder="1" applyAlignment="1">
      <alignment vertical="center"/>
    </xf>
    <xf numFmtId="0" fontId="1" fillId="0" borderId="1" xfId="0" applyFont="1" applyBorder="1" applyAlignment="1">
      <alignment vertical="top" wrapText="1"/>
    </xf>
    <xf numFmtId="0" fontId="6" fillId="7" borderId="1" xfId="0" applyFont="1" applyFill="1" applyBorder="1" applyAlignment="1">
      <alignment vertical="center"/>
    </xf>
    <xf numFmtId="0" fontId="0" fillId="7" borderId="0" xfId="0" applyFill="1"/>
    <xf numFmtId="44" fontId="0" fillId="0" borderId="0" xfId="0" applyNumberFormat="1"/>
    <xf numFmtId="0" fontId="1" fillId="0" borderId="0" xfId="0" applyFont="1" applyAlignment="1">
      <alignment horizontal="right"/>
    </xf>
    <xf numFmtId="44" fontId="1" fillId="0" borderId="0" xfId="0" applyNumberFormat="1" applyFont="1"/>
    <xf numFmtId="0" fontId="0" fillId="0" borderId="12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5" fillId="3" borderId="12" xfId="0" applyFont="1" applyFill="1" applyBorder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5" fillId="3" borderId="10" xfId="0" applyFont="1" applyFill="1" applyBorder="1" applyAlignment="1">
      <alignment horizontal="left" vertical="top" wrapText="1"/>
    </xf>
    <xf numFmtId="0" fontId="5" fillId="3" borderId="11" xfId="0" applyFont="1" applyFill="1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2" fillId="0" borderId="3" xfId="0" applyFont="1" applyBorder="1" applyAlignment="1"/>
    <xf numFmtId="0" fontId="0" fillId="0" borderId="3" xfId="0" applyBorder="1" applyAlignment="1"/>
    <xf numFmtId="0" fontId="2" fillId="0" borderId="0" xfId="0" applyFont="1" applyAlignment="1"/>
    <xf numFmtId="0" fontId="0" fillId="0" borderId="0" xfId="0" applyAlignment="1"/>
    <xf numFmtId="0" fontId="3" fillId="2" borderId="12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</cellXfs>
  <cellStyles count="2">
    <cellStyle name="Currency" xfId="1" builtinId="4"/>
    <cellStyle name="Normal" xfId="0" builtinId="0"/>
  </cellStyles>
  <dxfs count="17"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>
        <left/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top style="thin">
          <color rgb="FFD0D0D0"/>
        </top>
      </border>
    </dxf>
    <dxf>
      <border outline="0">
        <bottom style="thin">
          <color rgb="FFD0D0D0"/>
        </bottom>
      </border>
    </dxf>
    <dxf>
      <border outline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/>
        <top style="thin">
          <color rgb="FFD0D0D0"/>
        </top>
        <bottom style="thin">
          <color rgb="FFD0D0D0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 style="thin">
          <color rgb="FFD0D0D0"/>
        </left>
        <right style="thin">
          <color rgb="FFD0D0D0"/>
        </right>
        <top style="thin">
          <color rgb="FFD0D0D0"/>
        </top>
        <bottom style="thin">
          <color rgb="FFD0D0D0"/>
        </bottom>
        <vertical/>
        <horizontal/>
      </border>
    </dxf>
    <dxf>
      <border outline="0">
        <right style="thin">
          <color rgb="FFD0D0D0"/>
        </righ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D0D0D0"/>
        </left>
        <right style="thin">
          <color rgb="FFD0D0D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C82D4-F582-4CD3-AD4E-66D8F4D314AE}" name="Table1" displayName="Table1" ref="A2:H53" totalsRowShown="0" headerRowDxfId="16" tableBorderDxfId="15">
  <autoFilter ref="A2:H53" xr:uid="{BE345FCA-A2CF-46ED-BFBD-98EFB0D4C6CA}"/>
  <tableColumns count="8">
    <tableColumn id="1" xr3:uid="{37BC8971-F06F-4D25-B576-83ED9AA91E50}" name="Category"/>
    <tableColumn id="2" xr3:uid="{53E0980E-C385-4AA3-835D-F41A796DB5BB}" name="Device Type" dataDxfId="14"/>
    <tableColumn id="3" xr3:uid="{5EAAADD9-22F9-453F-8DBB-2509F9ABEFC2}" name="Device Detail" dataDxfId="13"/>
    <tableColumn id="4" xr3:uid="{D6ADF72D-B78D-4F5C-953D-75CCB273C69C}" name="Device Natïve Voltage" dataDxfId="12"/>
    <tableColumn id="5" xr3:uid="{149143AE-838C-4C12-A795-3BE5229885E5}" name="A/C Power Option" dataDxfId="11"/>
    <tableColumn id="6" xr3:uid="{09C23704-F1AA-4ACF-9818-ADDECAE5CACB}" name="DC Power Option " dataDxfId="10"/>
    <tableColumn id="7" xr3:uid="{768635B0-AF48-4BFA-864F-632FADCC9041}" name="POE Power Option" dataDxfId="9"/>
    <tableColumn id="8" xr3:uid="{A8B6DA15-C9FB-4803-9F04-28E28EF1F8D4}" name="Typical Quantity" dataDxfId="8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D996A1-2EC6-46C3-B557-1259C0A0E008}" name="Table2" displayName="Table2" ref="A2:D12" totalsRowShown="0" headerRowDxfId="7" headerRowBorderDxfId="5" tableBorderDxfId="6" totalsRowBorderDxfId="4">
  <autoFilter ref="A2:D12" xr:uid="{D9D996A1-2EC6-46C3-B557-1259C0A0E008}"/>
  <tableColumns count="4">
    <tableColumn id="1" xr3:uid="{EEAFBEE5-344B-4B0C-8A5E-64D7C6BB5FBB}" name="Phase" dataDxfId="3"/>
    <tableColumn id="2" xr3:uid="{CB6F59D7-940F-4E4A-93AE-C2C1274A37C2}" name="Steps" dataDxfId="2"/>
    <tableColumn id="3" xr3:uid="{4021A9E3-457F-40E4-8D50-2A5E4ED63FA2}" name="First_Step" dataDxfId="1"/>
    <tableColumn id="4" xr3:uid="{71A26185-D8A9-44D7-8BDC-7CEF23E03E45}" name="Last_Step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55D8-8EDE-473E-A5CE-F78F423E939A}">
  <dimension ref="A2:D28"/>
  <sheetViews>
    <sheetView workbookViewId="0">
      <selection activeCell="D8" sqref="D8"/>
    </sheetView>
  </sheetViews>
  <sheetFormatPr defaultRowHeight="14.25"/>
  <cols>
    <col min="1" max="1" width="31.85546875" customWidth="1"/>
    <col min="2" max="2" width="21.85546875" customWidth="1"/>
    <col min="3" max="3" width="24.140625" customWidth="1"/>
    <col min="4" max="4" width="16.28515625" customWidth="1"/>
  </cols>
  <sheetData>
    <row r="2" spans="1:4">
      <c r="A2" s="13" t="s">
        <v>0</v>
      </c>
    </row>
    <row r="3" spans="1:4">
      <c r="A3" s="13" t="s">
        <v>1</v>
      </c>
      <c r="B3" t="s">
        <v>2</v>
      </c>
      <c r="C3" t="s">
        <v>3</v>
      </c>
      <c r="D3" t="s">
        <v>4</v>
      </c>
    </row>
    <row r="4" spans="1:4">
      <c r="A4" s="13"/>
      <c r="B4" s="13" t="s">
        <v>5</v>
      </c>
      <c r="C4" s="13" t="s">
        <v>6</v>
      </c>
      <c r="D4" s="13" t="s">
        <v>7</v>
      </c>
    </row>
    <row r="5" spans="1:4">
      <c r="A5" t="s">
        <v>8</v>
      </c>
      <c r="B5" s="26">
        <f>'Installation Scope AC'!K78</f>
        <v>234989.467</v>
      </c>
    </row>
    <row r="6" spans="1:4">
      <c r="A6" t="s">
        <v>9</v>
      </c>
    </row>
    <row r="7" spans="1:4">
      <c r="A7" t="s">
        <v>10</v>
      </c>
      <c r="B7" s="44">
        <f>'Installation Scope LV'!L51</f>
        <v>59092.959999999999</v>
      </c>
    </row>
    <row r="8" spans="1:4">
      <c r="A8" t="s">
        <v>11</v>
      </c>
      <c r="B8" s="44"/>
    </row>
    <row r="9" spans="1:4">
      <c r="A9" s="45" t="s">
        <v>12</v>
      </c>
      <c r="B9" s="46">
        <f>SUM(B5+B7+B8+B6)</f>
        <v>294082.42700000003</v>
      </c>
      <c r="C9" s="46">
        <f t="shared" ref="C9:D9" si="0">SUM(C5+C7+C8+C6)</f>
        <v>0</v>
      </c>
      <c r="D9" s="46">
        <f t="shared" si="0"/>
        <v>0</v>
      </c>
    </row>
    <row r="11" spans="1:4">
      <c r="A11" s="13" t="s">
        <v>13</v>
      </c>
    </row>
    <row r="12" spans="1:4">
      <c r="A12" t="s">
        <v>14</v>
      </c>
    </row>
    <row r="13" spans="1:4">
      <c r="A13" t="s">
        <v>15</v>
      </c>
    </row>
    <row r="14" spans="1:4">
      <c r="A14" t="s">
        <v>16</v>
      </c>
    </row>
    <row r="15" spans="1:4">
      <c r="A15" t="s">
        <v>17</v>
      </c>
    </row>
    <row r="16" spans="1:4">
      <c r="A16" t="s">
        <v>18</v>
      </c>
    </row>
    <row r="17" spans="1:1">
      <c r="A17" t="s">
        <v>19</v>
      </c>
    </row>
    <row r="18" spans="1:1">
      <c r="A18" t="s">
        <v>20</v>
      </c>
    </row>
    <row r="19" spans="1:1">
      <c r="A19" t="s">
        <v>21</v>
      </c>
    </row>
    <row r="20" spans="1:1">
      <c r="A20" t="s">
        <v>22</v>
      </c>
    </row>
    <row r="21" spans="1:1">
      <c r="A21" t="s">
        <v>23</v>
      </c>
    </row>
    <row r="22" spans="1:1">
      <c r="A22" t="s">
        <v>24</v>
      </c>
    </row>
    <row r="23" spans="1:1">
      <c r="A23" t="s">
        <v>25</v>
      </c>
    </row>
    <row r="24" spans="1:1">
      <c r="A24" t="s">
        <v>26</v>
      </c>
    </row>
    <row r="25" spans="1:1">
      <c r="A25" t="s">
        <v>27</v>
      </c>
    </row>
    <row r="26" spans="1:1">
      <c r="A26" t="s">
        <v>28</v>
      </c>
    </row>
    <row r="27" spans="1:1">
      <c r="A27" t="s">
        <v>29</v>
      </c>
    </row>
    <row r="28" spans="1:1">
      <c r="A28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45FCA-A2CF-46ED-BFBD-98EFB0D4C6CA}">
  <dimension ref="A2:H65"/>
  <sheetViews>
    <sheetView workbookViewId="0">
      <selection activeCell="I15" sqref="I15"/>
    </sheetView>
  </sheetViews>
  <sheetFormatPr defaultColWidth="21.140625" defaultRowHeight="14.25"/>
  <cols>
    <col min="3" max="3" width="28" customWidth="1"/>
    <col min="4" max="4" width="19.85546875" customWidth="1"/>
    <col min="5" max="5" width="21.140625" customWidth="1"/>
  </cols>
  <sheetData>
    <row r="2" spans="1:8" s="15" customFormat="1">
      <c r="A2" s="21" t="s">
        <v>31</v>
      </c>
      <c r="B2" s="14" t="s">
        <v>32</v>
      </c>
      <c r="C2" s="14" t="s">
        <v>33</v>
      </c>
      <c r="D2" s="14" t="s">
        <v>34</v>
      </c>
      <c r="E2" s="14" t="s">
        <v>35</v>
      </c>
      <c r="F2" s="21" t="s">
        <v>36</v>
      </c>
      <c r="G2" s="21" t="s">
        <v>37</v>
      </c>
      <c r="H2" s="24" t="s">
        <v>38</v>
      </c>
    </row>
    <row r="3" spans="1:8">
      <c r="A3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22" t="s">
        <v>43</v>
      </c>
      <c r="G3" s="22" t="s">
        <v>43</v>
      </c>
      <c r="H3" s="4">
        <v>5</v>
      </c>
    </row>
    <row r="4" spans="1:8">
      <c r="A4" t="s">
        <v>39</v>
      </c>
      <c r="B4" s="1" t="s">
        <v>44</v>
      </c>
      <c r="C4" s="1" t="s">
        <v>45</v>
      </c>
      <c r="D4" s="1" t="s">
        <v>42</v>
      </c>
      <c r="E4" s="1" t="s">
        <v>43</v>
      </c>
      <c r="F4" s="22" t="s">
        <v>43</v>
      </c>
      <c r="G4" s="22" t="s">
        <v>43</v>
      </c>
      <c r="H4" s="4">
        <v>14</v>
      </c>
    </row>
    <row r="5" spans="1:8">
      <c r="A5" t="s">
        <v>39</v>
      </c>
      <c r="B5" s="1" t="s">
        <v>46</v>
      </c>
      <c r="C5" s="1" t="s">
        <v>47</v>
      </c>
      <c r="D5" s="1" t="s">
        <v>42</v>
      </c>
      <c r="E5" s="1" t="s">
        <v>43</v>
      </c>
      <c r="F5" s="22" t="s">
        <v>43</v>
      </c>
      <c r="G5" s="22" t="s">
        <v>43</v>
      </c>
      <c r="H5" s="4">
        <v>6</v>
      </c>
    </row>
    <row r="6" spans="1:8">
      <c r="A6" t="s">
        <v>48</v>
      </c>
      <c r="B6" s="1" t="s">
        <v>49</v>
      </c>
      <c r="C6" s="1" t="s">
        <v>50</v>
      </c>
      <c r="D6" s="1" t="s">
        <v>51</v>
      </c>
      <c r="E6" s="1" t="s">
        <v>43</v>
      </c>
      <c r="F6" s="23" t="s">
        <v>52</v>
      </c>
      <c r="G6" s="23" t="s">
        <v>52</v>
      </c>
      <c r="H6" s="4">
        <v>3</v>
      </c>
    </row>
    <row r="7" spans="1:8">
      <c r="A7" t="s">
        <v>48</v>
      </c>
      <c r="B7" s="1" t="s">
        <v>49</v>
      </c>
      <c r="C7" s="1" t="s">
        <v>53</v>
      </c>
      <c r="D7" s="1" t="s">
        <v>51</v>
      </c>
      <c r="E7" s="1" t="s">
        <v>43</v>
      </c>
      <c r="F7" s="23" t="s">
        <v>43</v>
      </c>
      <c r="G7" s="23" t="s">
        <v>52</v>
      </c>
      <c r="H7" s="4">
        <v>2</v>
      </c>
    </row>
    <row r="8" spans="1:8">
      <c r="A8" t="s">
        <v>48</v>
      </c>
      <c r="B8" s="1" t="s">
        <v>49</v>
      </c>
      <c r="C8" s="1" t="s">
        <v>54</v>
      </c>
      <c r="D8" s="1" t="s">
        <v>51</v>
      </c>
      <c r="E8" s="1" t="s">
        <v>43</v>
      </c>
      <c r="F8" s="23" t="s">
        <v>43</v>
      </c>
      <c r="G8" s="23" t="s">
        <v>52</v>
      </c>
      <c r="H8" s="4">
        <v>2.5</v>
      </c>
    </row>
    <row r="9" spans="1:8">
      <c r="A9" t="s">
        <v>48</v>
      </c>
      <c r="B9" s="1" t="s">
        <v>49</v>
      </c>
      <c r="C9" s="1" t="s">
        <v>55</v>
      </c>
      <c r="D9" s="1" t="s">
        <v>51</v>
      </c>
      <c r="E9" s="1" t="s">
        <v>43</v>
      </c>
      <c r="F9" s="23" t="s">
        <v>43</v>
      </c>
      <c r="G9" s="23" t="s">
        <v>52</v>
      </c>
      <c r="H9" s="4">
        <v>2</v>
      </c>
    </row>
    <row r="10" spans="1:8">
      <c r="A10" t="s">
        <v>48</v>
      </c>
      <c r="B10" s="1" t="s">
        <v>49</v>
      </c>
      <c r="C10" s="1" t="s">
        <v>56</v>
      </c>
      <c r="D10" s="1" t="s">
        <v>51</v>
      </c>
      <c r="E10" s="1" t="s">
        <v>43</v>
      </c>
      <c r="F10" s="23" t="s">
        <v>52</v>
      </c>
      <c r="G10" s="23" t="s">
        <v>52</v>
      </c>
      <c r="H10" s="4">
        <v>3</v>
      </c>
    </row>
    <row r="11" spans="1:8">
      <c r="A11" t="s">
        <v>48</v>
      </c>
      <c r="B11" s="1" t="s">
        <v>49</v>
      </c>
      <c r="C11" s="1" t="s">
        <v>57</v>
      </c>
      <c r="D11" s="1" t="s">
        <v>42</v>
      </c>
      <c r="E11" s="1" t="s">
        <v>43</v>
      </c>
      <c r="F11" s="23" t="s">
        <v>52</v>
      </c>
      <c r="G11" s="23" t="s">
        <v>52</v>
      </c>
      <c r="H11" s="4">
        <v>4</v>
      </c>
    </row>
    <row r="12" spans="1:8">
      <c r="A12" t="s">
        <v>58</v>
      </c>
      <c r="B12" s="1" t="s">
        <v>59</v>
      </c>
      <c r="C12" s="1" t="s">
        <v>60</v>
      </c>
      <c r="D12" s="1" t="s">
        <v>51</v>
      </c>
      <c r="E12" s="1" t="s">
        <v>43</v>
      </c>
      <c r="F12" s="23" t="s">
        <v>52</v>
      </c>
      <c r="G12" s="23" t="s">
        <v>52</v>
      </c>
      <c r="H12" s="4">
        <v>7</v>
      </c>
    </row>
    <row r="13" spans="1:8">
      <c r="A13" t="s">
        <v>58</v>
      </c>
      <c r="B13" s="1" t="s">
        <v>59</v>
      </c>
      <c r="C13" s="1" t="s">
        <v>61</v>
      </c>
      <c r="D13" s="1" t="s">
        <v>51</v>
      </c>
      <c r="E13" s="1" t="s">
        <v>43</v>
      </c>
      <c r="F13" s="23" t="s">
        <v>52</v>
      </c>
      <c r="G13" s="23" t="s">
        <v>52</v>
      </c>
      <c r="H13" s="4">
        <v>20</v>
      </c>
    </row>
    <row r="14" spans="1:8">
      <c r="A14" t="s">
        <v>62</v>
      </c>
      <c r="B14" s="1" t="s">
        <v>63</v>
      </c>
      <c r="C14" s="1" t="s">
        <v>64</v>
      </c>
      <c r="D14" s="1" t="s">
        <v>42</v>
      </c>
      <c r="E14" s="1" t="s">
        <v>43</v>
      </c>
      <c r="F14" s="23" t="s">
        <v>43</v>
      </c>
      <c r="G14" s="23" t="s">
        <v>43</v>
      </c>
      <c r="H14" s="4">
        <v>50</v>
      </c>
    </row>
    <row r="15" spans="1:8">
      <c r="A15" t="s">
        <v>62</v>
      </c>
      <c r="B15" s="1" t="s">
        <v>65</v>
      </c>
      <c r="C15" s="1" t="s">
        <v>66</v>
      </c>
      <c r="D15" s="1" t="s">
        <v>42</v>
      </c>
      <c r="E15" s="1" t="s">
        <v>43</v>
      </c>
      <c r="F15" s="23" t="s">
        <v>43</v>
      </c>
      <c r="G15" s="23" t="s">
        <v>52</v>
      </c>
      <c r="H15" s="4">
        <v>3</v>
      </c>
    </row>
    <row r="16" spans="1:8">
      <c r="A16" t="s">
        <v>62</v>
      </c>
      <c r="B16" s="1" t="s">
        <v>65</v>
      </c>
      <c r="C16" s="1" t="s">
        <v>67</v>
      </c>
      <c r="D16" s="1" t="s">
        <v>42</v>
      </c>
      <c r="E16" s="1" t="s">
        <v>43</v>
      </c>
      <c r="F16" s="23" t="s">
        <v>43</v>
      </c>
      <c r="G16" s="23" t="s">
        <v>52</v>
      </c>
      <c r="H16" s="4">
        <v>7</v>
      </c>
    </row>
    <row r="17" spans="1:8">
      <c r="A17" t="s">
        <v>62</v>
      </c>
      <c r="B17" s="1" t="s">
        <v>65</v>
      </c>
      <c r="C17" s="1" t="s">
        <v>68</v>
      </c>
      <c r="D17" s="1" t="s">
        <v>42</v>
      </c>
      <c r="E17" s="1" t="s">
        <v>43</v>
      </c>
      <c r="F17" s="23" t="s">
        <v>43</v>
      </c>
      <c r="G17" s="23" t="s">
        <v>52</v>
      </c>
      <c r="H17" s="4">
        <v>4</v>
      </c>
    </row>
    <row r="18" spans="1:8">
      <c r="A18" t="s">
        <v>62</v>
      </c>
      <c r="B18" s="1" t="s">
        <v>65</v>
      </c>
      <c r="C18" s="1" t="s">
        <v>69</v>
      </c>
      <c r="D18" s="1" t="s">
        <v>42</v>
      </c>
      <c r="E18" s="1" t="s">
        <v>43</v>
      </c>
      <c r="F18" s="23" t="s">
        <v>43</v>
      </c>
      <c r="G18" s="23" t="s">
        <v>52</v>
      </c>
      <c r="H18" s="4">
        <v>1.5</v>
      </c>
    </row>
    <row r="19" spans="1:8">
      <c r="A19" t="s">
        <v>62</v>
      </c>
      <c r="B19" s="1" t="s">
        <v>70</v>
      </c>
      <c r="C19" s="1" t="s">
        <v>71</v>
      </c>
      <c r="D19" s="1" t="s">
        <v>42</v>
      </c>
      <c r="E19" s="1" t="s">
        <v>43</v>
      </c>
      <c r="F19" s="23" t="s">
        <v>43</v>
      </c>
      <c r="G19" s="23" t="s">
        <v>52</v>
      </c>
      <c r="H19" s="4">
        <v>1</v>
      </c>
    </row>
    <row r="20" spans="1:8">
      <c r="A20" s="1" t="s">
        <v>72</v>
      </c>
      <c r="B20" s="1" t="s">
        <v>72</v>
      </c>
      <c r="C20" s="1" t="s">
        <v>73</v>
      </c>
      <c r="D20" s="1" t="s">
        <v>42</v>
      </c>
      <c r="E20" s="1" t="s">
        <v>52</v>
      </c>
      <c r="F20" s="23" t="s">
        <v>43</v>
      </c>
      <c r="G20" s="23" t="s">
        <v>52</v>
      </c>
      <c r="H20" s="4">
        <v>1</v>
      </c>
    </row>
    <row r="21" spans="1:8">
      <c r="A21" t="s">
        <v>74</v>
      </c>
      <c r="B21" s="1" t="s">
        <v>75</v>
      </c>
      <c r="C21" s="1" t="s">
        <v>76</v>
      </c>
      <c r="D21" s="1" t="s">
        <v>42</v>
      </c>
      <c r="E21" s="1" t="s">
        <v>43</v>
      </c>
      <c r="F21" s="23" t="s">
        <v>43</v>
      </c>
      <c r="G21" s="23" t="s">
        <v>43</v>
      </c>
      <c r="H21" s="4">
        <v>2</v>
      </c>
    </row>
    <row r="22" spans="1:8">
      <c r="A22" t="s">
        <v>74</v>
      </c>
      <c r="B22" s="1" t="s">
        <v>75</v>
      </c>
      <c r="C22" s="1" t="s">
        <v>77</v>
      </c>
      <c r="D22" s="1" t="s">
        <v>42</v>
      </c>
      <c r="E22" s="1" t="s">
        <v>43</v>
      </c>
      <c r="F22" s="23" t="s">
        <v>43</v>
      </c>
      <c r="G22" s="23" t="s">
        <v>43</v>
      </c>
      <c r="H22" s="4">
        <v>320</v>
      </c>
    </row>
    <row r="23" spans="1:8">
      <c r="A23" t="s">
        <v>74</v>
      </c>
      <c r="B23" s="1" t="s">
        <v>75</v>
      </c>
      <c r="C23" s="1" t="s">
        <v>78</v>
      </c>
      <c r="D23" s="1" t="s">
        <v>42</v>
      </c>
      <c r="E23" s="1" t="s">
        <v>43</v>
      </c>
      <c r="F23" s="23" t="s">
        <v>43</v>
      </c>
      <c r="G23" s="23" t="s">
        <v>43</v>
      </c>
      <c r="H23" s="4">
        <v>80</v>
      </c>
    </row>
    <row r="24" spans="1:8">
      <c r="A24" t="s">
        <v>79</v>
      </c>
      <c r="B24" s="1" t="s">
        <v>80</v>
      </c>
      <c r="C24" s="1" t="s">
        <v>81</v>
      </c>
      <c r="D24" s="1" t="s">
        <v>42</v>
      </c>
      <c r="E24" s="1" t="s">
        <v>43</v>
      </c>
      <c r="F24" s="23" t="s">
        <v>52</v>
      </c>
      <c r="G24" s="23" t="s">
        <v>52</v>
      </c>
      <c r="H24" s="4">
        <v>100</v>
      </c>
    </row>
    <row r="25" spans="1:8">
      <c r="A25" t="s">
        <v>79</v>
      </c>
      <c r="B25" s="1" t="s">
        <v>82</v>
      </c>
      <c r="C25" s="1" t="s">
        <v>83</v>
      </c>
      <c r="D25" s="1" t="s">
        <v>42</v>
      </c>
      <c r="E25" s="1" t="s">
        <v>43</v>
      </c>
      <c r="F25" s="23" t="s">
        <v>43</v>
      </c>
      <c r="G25" s="23" t="s">
        <v>43</v>
      </c>
      <c r="H25" s="4">
        <v>30</v>
      </c>
    </row>
    <row r="26" spans="1:8">
      <c r="A26" t="s">
        <v>48</v>
      </c>
      <c r="B26" s="1" t="s">
        <v>84</v>
      </c>
      <c r="C26" s="1" t="s">
        <v>85</v>
      </c>
      <c r="D26" s="1" t="s">
        <v>42</v>
      </c>
      <c r="E26" s="1" t="s">
        <v>43</v>
      </c>
      <c r="F26" s="23" t="s">
        <v>52</v>
      </c>
      <c r="G26" s="23" t="s">
        <v>52</v>
      </c>
      <c r="H26" s="4">
        <v>10</v>
      </c>
    </row>
    <row r="27" spans="1:8">
      <c r="A27" t="s">
        <v>48</v>
      </c>
      <c r="B27" s="1" t="s">
        <v>84</v>
      </c>
      <c r="C27" s="1" t="s">
        <v>86</v>
      </c>
      <c r="D27" s="1" t="s">
        <v>42</v>
      </c>
      <c r="E27" s="1" t="s">
        <v>43</v>
      </c>
      <c r="F27" s="23" t="s">
        <v>52</v>
      </c>
      <c r="G27" s="23" t="s">
        <v>52</v>
      </c>
      <c r="H27" s="4">
        <v>4</v>
      </c>
    </row>
    <row r="28" spans="1:8">
      <c r="A28" t="s">
        <v>48</v>
      </c>
      <c r="B28" s="1" t="s">
        <v>84</v>
      </c>
      <c r="C28" s="1" t="s">
        <v>87</v>
      </c>
      <c r="D28" s="1" t="s">
        <v>42</v>
      </c>
      <c r="E28" s="1" t="s">
        <v>43</v>
      </c>
      <c r="F28" s="23" t="s">
        <v>52</v>
      </c>
      <c r="G28" s="23" t="s">
        <v>52</v>
      </c>
      <c r="H28" s="4">
        <v>15</v>
      </c>
    </row>
    <row r="29" spans="1:8">
      <c r="A29" t="s">
        <v>58</v>
      </c>
      <c r="B29" s="1" t="s">
        <v>88</v>
      </c>
      <c r="C29" s="1" t="s">
        <v>89</v>
      </c>
      <c r="D29" s="1" t="s">
        <v>51</v>
      </c>
      <c r="E29" s="1" t="s">
        <v>43</v>
      </c>
      <c r="F29" s="23" t="s">
        <v>43</v>
      </c>
      <c r="G29" s="23" t="s">
        <v>52</v>
      </c>
      <c r="H29" s="4">
        <v>3</v>
      </c>
    </row>
    <row r="30" spans="1:8">
      <c r="A30" t="s">
        <v>90</v>
      </c>
      <c r="B30" s="1" t="s">
        <v>91</v>
      </c>
      <c r="C30" s="1" t="s">
        <v>92</v>
      </c>
      <c r="D30" s="1" t="s">
        <v>42</v>
      </c>
      <c r="E30" s="1" t="s">
        <v>52</v>
      </c>
      <c r="F30" s="23" t="s">
        <v>43</v>
      </c>
      <c r="G30" s="23" t="s">
        <v>43</v>
      </c>
      <c r="H30" s="4">
        <v>5</v>
      </c>
    </row>
    <row r="31" spans="1:8">
      <c r="A31" t="s">
        <v>90</v>
      </c>
      <c r="B31" s="1" t="s">
        <v>91</v>
      </c>
      <c r="C31" s="1" t="s">
        <v>93</v>
      </c>
      <c r="D31" s="1" t="s">
        <v>42</v>
      </c>
      <c r="E31" s="1" t="s">
        <v>43</v>
      </c>
      <c r="F31" s="23" t="s">
        <v>43</v>
      </c>
      <c r="G31" s="23" t="s">
        <v>43</v>
      </c>
      <c r="H31" s="4">
        <v>2</v>
      </c>
    </row>
    <row r="32" spans="1:8">
      <c r="A32" t="s">
        <v>90</v>
      </c>
      <c r="B32" s="1" t="s">
        <v>91</v>
      </c>
      <c r="C32" s="1" t="s">
        <v>94</v>
      </c>
      <c r="D32" s="1" t="s">
        <v>42</v>
      </c>
      <c r="E32" s="1" t="s">
        <v>43</v>
      </c>
      <c r="F32" s="23" t="s">
        <v>43</v>
      </c>
      <c r="G32" s="23" t="s">
        <v>43</v>
      </c>
      <c r="H32" s="4">
        <v>3</v>
      </c>
    </row>
    <row r="33" spans="1:8">
      <c r="A33" t="s">
        <v>79</v>
      </c>
      <c r="B33" s="1" t="s">
        <v>95</v>
      </c>
      <c r="C33" s="1" t="s">
        <v>96</v>
      </c>
      <c r="D33" s="1" t="s">
        <v>42</v>
      </c>
      <c r="E33" s="1" t="s">
        <v>43</v>
      </c>
      <c r="F33" s="23" t="s">
        <v>43</v>
      </c>
      <c r="G33" s="23" t="s">
        <v>43</v>
      </c>
      <c r="H33" s="4">
        <v>2</v>
      </c>
    </row>
    <row r="34" spans="1:8">
      <c r="A34" t="s">
        <v>79</v>
      </c>
      <c r="B34" s="1" t="s">
        <v>97</v>
      </c>
      <c r="C34" s="1" t="s">
        <v>98</v>
      </c>
      <c r="D34" s="1" t="s">
        <v>42</v>
      </c>
      <c r="E34" s="1" t="s">
        <v>43</v>
      </c>
      <c r="F34" s="23" t="s">
        <v>43</v>
      </c>
      <c r="G34" s="23" t="s">
        <v>43</v>
      </c>
      <c r="H34" s="4">
        <v>200</v>
      </c>
    </row>
    <row r="35" spans="1:8">
      <c r="A35" t="s">
        <v>79</v>
      </c>
      <c r="B35" s="1" t="s">
        <v>97</v>
      </c>
      <c r="C35" s="1" t="s">
        <v>99</v>
      </c>
      <c r="D35" s="1" t="s">
        <v>42</v>
      </c>
      <c r="E35" s="1" t="s">
        <v>43</v>
      </c>
      <c r="F35" s="23" t="s">
        <v>43</v>
      </c>
      <c r="G35" s="23" t="s">
        <v>43</v>
      </c>
      <c r="H35" s="4">
        <v>150</v>
      </c>
    </row>
    <row r="36" spans="1:8">
      <c r="A36" t="s">
        <v>79</v>
      </c>
      <c r="B36" s="1" t="s">
        <v>97</v>
      </c>
      <c r="C36" s="1" t="s">
        <v>100</v>
      </c>
      <c r="D36" s="1" t="s">
        <v>42</v>
      </c>
      <c r="E36" s="1" t="s">
        <v>43</v>
      </c>
      <c r="F36" s="23" t="s">
        <v>43</v>
      </c>
      <c r="G36" s="23" t="s">
        <v>43</v>
      </c>
      <c r="H36" s="4">
        <v>200</v>
      </c>
    </row>
    <row r="37" spans="1:8">
      <c r="A37" t="s">
        <v>39</v>
      </c>
      <c r="B37" s="1" t="s">
        <v>44</v>
      </c>
      <c r="C37" s="1" t="s">
        <v>101</v>
      </c>
      <c r="D37" s="1" t="s">
        <v>42</v>
      </c>
      <c r="E37" s="1" t="s">
        <v>43</v>
      </c>
      <c r="F37" s="23" t="s">
        <v>43</v>
      </c>
      <c r="G37" s="23" t="s">
        <v>43</v>
      </c>
      <c r="H37" s="4">
        <v>13</v>
      </c>
    </row>
    <row r="38" spans="1:8">
      <c r="A38" t="s">
        <v>74</v>
      </c>
      <c r="B38" s="1" t="s">
        <v>75</v>
      </c>
      <c r="C38" s="1" t="s">
        <v>102</v>
      </c>
      <c r="D38" s="1" t="s">
        <v>42</v>
      </c>
      <c r="E38" s="1" t="s">
        <v>52</v>
      </c>
      <c r="F38" s="23" t="s">
        <v>43</v>
      </c>
      <c r="G38" s="23" t="s">
        <v>52</v>
      </c>
      <c r="H38" s="4">
        <v>20</v>
      </c>
    </row>
    <row r="39" spans="1:8">
      <c r="A39" t="s">
        <v>58</v>
      </c>
      <c r="B39" s="1" t="s">
        <v>88</v>
      </c>
      <c r="C39" s="1" t="s">
        <v>103</v>
      </c>
      <c r="D39" s="1" t="s">
        <v>42</v>
      </c>
      <c r="E39" s="1" t="s">
        <v>43</v>
      </c>
      <c r="F39" s="23" t="s">
        <v>43</v>
      </c>
      <c r="G39" s="23" t="s">
        <v>52</v>
      </c>
      <c r="H39" s="4">
        <v>20</v>
      </c>
    </row>
    <row r="40" spans="1:8">
      <c r="A40" t="s">
        <v>39</v>
      </c>
      <c r="B40" s="1" t="s">
        <v>40</v>
      </c>
      <c r="C40" s="1" t="s">
        <v>104</v>
      </c>
      <c r="D40" s="1" t="s">
        <v>42</v>
      </c>
      <c r="E40" s="1" t="s">
        <v>52</v>
      </c>
      <c r="F40" s="23" t="s">
        <v>43</v>
      </c>
      <c r="G40" s="23" t="s">
        <v>43</v>
      </c>
      <c r="H40" s="4">
        <v>50</v>
      </c>
    </row>
    <row r="41" spans="1:8">
      <c r="A41" t="s">
        <v>58</v>
      </c>
      <c r="B41" s="1" t="s">
        <v>105</v>
      </c>
      <c r="C41" s="1" t="s">
        <v>106</v>
      </c>
      <c r="D41" s="1" t="s">
        <v>51</v>
      </c>
      <c r="E41" s="1" t="s">
        <v>43</v>
      </c>
      <c r="F41" s="23" t="s">
        <v>43</v>
      </c>
      <c r="G41" s="23" t="s">
        <v>52</v>
      </c>
      <c r="H41" s="4">
        <v>30</v>
      </c>
    </row>
    <row r="42" spans="1:8">
      <c r="A42" t="s">
        <v>58</v>
      </c>
      <c r="B42" s="1" t="s">
        <v>105</v>
      </c>
      <c r="C42" s="1" t="s">
        <v>107</v>
      </c>
      <c r="D42" s="1" t="s">
        <v>51</v>
      </c>
      <c r="E42" s="1" t="s">
        <v>43</v>
      </c>
      <c r="F42" s="23" t="s">
        <v>43</v>
      </c>
      <c r="G42" s="23" t="s">
        <v>43</v>
      </c>
      <c r="H42" s="4">
        <v>25</v>
      </c>
    </row>
    <row r="43" spans="1:8">
      <c r="A43" t="s">
        <v>72</v>
      </c>
      <c r="B43" s="1" t="s">
        <v>72</v>
      </c>
      <c r="C43" s="1" t="s">
        <v>108</v>
      </c>
      <c r="D43" s="1" t="s">
        <v>42</v>
      </c>
      <c r="E43" s="1" t="s">
        <v>52</v>
      </c>
      <c r="F43" s="23" t="s">
        <v>43</v>
      </c>
      <c r="G43" s="23" t="s">
        <v>52</v>
      </c>
      <c r="H43" s="4">
        <v>60</v>
      </c>
    </row>
    <row r="44" spans="1:8">
      <c r="A44" t="s">
        <v>72</v>
      </c>
      <c r="B44" s="1" t="s">
        <v>72</v>
      </c>
      <c r="C44" s="1" t="s">
        <v>109</v>
      </c>
      <c r="D44" s="1" t="s">
        <v>42</v>
      </c>
      <c r="E44" s="1" t="s">
        <v>52</v>
      </c>
      <c r="F44" s="23" t="s">
        <v>43</v>
      </c>
      <c r="G44" s="23" t="s">
        <v>52</v>
      </c>
      <c r="H44" s="4">
        <v>15</v>
      </c>
    </row>
    <row r="45" spans="1:8">
      <c r="A45" t="s">
        <v>72</v>
      </c>
      <c r="B45" s="1" t="s">
        <v>72</v>
      </c>
      <c r="C45" s="1" t="s">
        <v>110</v>
      </c>
      <c r="D45" s="1" t="s">
        <v>42</v>
      </c>
      <c r="E45" s="1" t="s">
        <v>52</v>
      </c>
      <c r="F45" s="23" t="s">
        <v>43</v>
      </c>
      <c r="G45" s="23" t="s">
        <v>43</v>
      </c>
      <c r="H45" s="4">
        <v>70</v>
      </c>
    </row>
    <row r="46" spans="1:8">
      <c r="A46" t="s">
        <v>79</v>
      </c>
      <c r="B46" s="1" t="s">
        <v>82</v>
      </c>
      <c r="C46" s="1" t="s">
        <v>111</v>
      </c>
      <c r="D46" s="1" t="s">
        <v>42</v>
      </c>
      <c r="E46" s="1" t="s">
        <v>52</v>
      </c>
      <c r="F46" s="23" t="s">
        <v>43</v>
      </c>
      <c r="G46" s="23" t="s">
        <v>43</v>
      </c>
      <c r="H46" s="4">
        <v>80</v>
      </c>
    </row>
    <row r="47" spans="1:8">
      <c r="A47" t="s">
        <v>90</v>
      </c>
      <c r="B47" s="1" t="s">
        <v>91</v>
      </c>
      <c r="C47" s="1" t="s">
        <v>112</v>
      </c>
      <c r="D47" s="1" t="s">
        <v>42</v>
      </c>
      <c r="E47" s="1" t="s">
        <v>52</v>
      </c>
      <c r="F47" s="23" t="s">
        <v>43</v>
      </c>
      <c r="G47" s="23" t="s">
        <v>52</v>
      </c>
      <c r="H47" s="4">
        <v>35</v>
      </c>
    </row>
    <row r="48" spans="1:8">
      <c r="A48" t="s">
        <v>79</v>
      </c>
      <c r="B48" s="1" t="s">
        <v>95</v>
      </c>
      <c r="C48" s="1" t="s">
        <v>113</v>
      </c>
      <c r="D48" s="1" t="s">
        <v>42</v>
      </c>
      <c r="E48" s="1" t="s">
        <v>52</v>
      </c>
      <c r="F48" s="23" t="s">
        <v>43</v>
      </c>
      <c r="G48" s="23" t="s">
        <v>43</v>
      </c>
      <c r="H48" s="4">
        <v>200</v>
      </c>
    </row>
    <row r="49" spans="1:8">
      <c r="A49" t="s">
        <v>79</v>
      </c>
      <c r="B49" s="1" t="s">
        <v>97</v>
      </c>
      <c r="C49" s="1" t="s">
        <v>114</v>
      </c>
      <c r="D49" s="1" t="s">
        <v>42</v>
      </c>
      <c r="E49" s="1" t="s">
        <v>43</v>
      </c>
      <c r="F49" s="23" t="s">
        <v>43</v>
      </c>
      <c r="G49" s="23" t="s">
        <v>43</v>
      </c>
      <c r="H49" s="4">
        <v>400</v>
      </c>
    </row>
    <row r="50" spans="1:8">
      <c r="A50" t="s">
        <v>62</v>
      </c>
      <c r="B50" s="1" t="s">
        <v>115</v>
      </c>
      <c r="C50" s="1" t="s">
        <v>116</v>
      </c>
      <c r="D50" s="1" t="s">
        <v>42</v>
      </c>
      <c r="E50" s="1" t="s">
        <v>52</v>
      </c>
      <c r="F50" s="23" t="s">
        <v>52</v>
      </c>
      <c r="G50" s="23" t="s">
        <v>43</v>
      </c>
      <c r="H50" s="4">
        <v>22</v>
      </c>
    </row>
    <row r="51" spans="1:8">
      <c r="A51" t="s">
        <v>90</v>
      </c>
      <c r="B51" s="1" t="s">
        <v>91</v>
      </c>
      <c r="C51" s="1" t="s">
        <v>117</v>
      </c>
      <c r="D51" s="1" t="s">
        <v>42</v>
      </c>
      <c r="E51" s="1" t="s">
        <v>52</v>
      </c>
      <c r="F51" s="23" t="s">
        <v>43</v>
      </c>
      <c r="G51" s="23" t="s">
        <v>43</v>
      </c>
      <c r="H51" s="4">
        <v>25</v>
      </c>
    </row>
    <row r="52" spans="1:8">
      <c r="A52" t="s">
        <v>90</v>
      </c>
      <c r="B52" s="1" t="s">
        <v>91</v>
      </c>
      <c r="C52" s="1" t="s">
        <v>118</v>
      </c>
      <c r="D52" s="1" t="s">
        <v>42</v>
      </c>
      <c r="E52" s="1" t="s">
        <v>52</v>
      </c>
      <c r="F52" s="23" t="s">
        <v>43</v>
      </c>
      <c r="G52" s="23" t="s">
        <v>43</v>
      </c>
      <c r="H52" s="4">
        <v>3</v>
      </c>
    </row>
    <row r="53" spans="1:8">
      <c r="A53" t="s">
        <v>62</v>
      </c>
      <c r="B53" s="1" t="s">
        <v>97</v>
      </c>
      <c r="C53" s="1" t="s">
        <v>119</v>
      </c>
      <c r="D53" s="1" t="s">
        <v>42</v>
      </c>
      <c r="E53" s="1" t="s">
        <v>43</v>
      </c>
      <c r="F53" s="23" t="s">
        <v>43</v>
      </c>
      <c r="G53" s="23" t="s">
        <v>43</v>
      </c>
      <c r="H53" s="4">
        <v>200</v>
      </c>
    </row>
    <row r="57" spans="1:8">
      <c r="A57" t="s">
        <v>58</v>
      </c>
    </row>
    <row r="58" spans="1:8">
      <c r="A58" t="s">
        <v>120</v>
      </c>
    </row>
    <row r="59" spans="1:8">
      <c r="A59" t="s">
        <v>62</v>
      </c>
    </row>
    <row r="60" spans="1:8">
      <c r="A60" t="s">
        <v>74</v>
      </c>
    </row>
    <row r="61" spans="1:8">
      <c r="A61" t="s">
        <v>39</v>
      </c>
    </row>
    <row r="62" spans="1:8">
      <c r="A62" t="s">
        <v>90</v>
      </c>
    </row>
    <row r="63" spans="1:8">
      <c r="A63" t="s">
        <v>79</v>
      </c>
    </row>
    <row r="64" spans="1:8">
      <c r="A64" t="s">
        <v>48</v>
      </c>
    </row>
    <row r="65" spans="1:1">
      <c r="A65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8"/>
  <sheetViews>
    <sheetView tabSelected="1" zoomScaleNormal="100" workbookViewId="0">
      <selection activeCell="A55" sqref="A55"/>
    </sheetView>
  </sheetViews>
  <sheetFormatPr defaultRowHeight="14.25"/>
  <cols>
    <col min="1" max="1" width="33.28515625" bestFit="1" customWidth="1"/>
    <col min="2" max="2" width="11.140625" bestFit="1" customWidth="1"/>
    <col min="3" max="4" width="15.7109375" bestFit="1" customWidth="1"/>
    <col min="5" max="5" width="35.140625" customWidth="1"/>
    <col min="6" max="6" width="67" customWidth="1"/>
  </cols>
  <sheetData>
    <row r="1" spans="1:6" ht="18">
      <c r="A1" s="56" t="s">
        <v>121</v>
      </c>
      <c r="B1" s="57"/>
      <c r="C1" s="57"/>
      <c r="D1" s="57"/>
    </row>
    <row r="2" spans="1:6">
      <c r="A2" s="5" t="s">
        <v>122</v>
      </c>
      <c r="B2" s="8" t="s">
        <v>123</v>
      </c>
      <c r="C2" s="8" t="s">
        <v>124</v>
      </c>
      <c r="D2" s="9" t="s">
        <v>125</v>
      </c>
    </row>
    <row r="3" spans="1:6" ht="28.5">
      <c r="A3" s="3" t="s">
        <v>126</v>
      </c>
      <c r="B3" s="1">
        <v>5</v>
      </c>
      <c r="C3" s="1">
        <v>1</v>
      </c>
      <c r="D3" s="4">
        <v>5</v>
      </c>
    </row>
    <row r="4" spans="1:6" ht="28.5">
      <c r="A4" s="3" t="s">
        <v>127</v>
      </c>
      <c r="B4" s="1">
        <v>5</v>
      </c>
      <c r="C4" s="1">
        <v>6</v>
      </c>
      <c r="D4" s="4">
        <v>10</v>
      </c>
    </row>
    <row r="5" spans="1:6" ht="28.5">
      <c r="A5" s="3" t="s">
        <v>128</v>
      </c>
      <c r="B5" s="1">
        <v>8</v>
      </c>
      <c r="C5" s="1">
        <v>11</v>
      </c>
      <c r="D5" s="4">
        <v>18</v>
      </c>
    </row>
    <row r="6" spans="1:6" ht="28.5">
      <c r="A6" s="3" t="s">
        <v>129</v>
      </c>
      <c r="B6" s="1">
        <v>8</v>
      </c>
      <c r="C6" s="1">
        <v>19</v>
      </c>
      <c r="D6" s="4">
        <v>26</v>
      </c>
    </row>
    <row r="7" spans="1:6" ht="28.5">
      <c r="A7" s="3" t="s">
        <v>130</v>
      </c>
      <c r="B7" s="1">
        <v>8</v>
      </c>
      <c r="C7" s="1">
        <v>27</v>
      </c>
      <c r="D7" s="4">
        <v>34</v>
      </c>
    </row>
    <row r="8" spans="1:6">
      <c r="A8" s="3" t="s">
        <v>131</v>
      </c>
      <c r="B8" s="1">
        <v>3</v>
      </c>
      <c r="C8" s="1">
        <v>35</v>
      </c>
      <c r="D8" s="4">
        <v>37</v>
      </c>
    </row>
    <row r="9" spans="1:6" ht="28.5">
      <c r="A9" s="3" t="s">
        <v>132</v>
      </c>
      <c r="B9" s="1">
        <v>4</v>
      </c>
      <c r="C9" s="1">
        <v>38</v>
      </c>
      <c r="D9" s="4">
        <v>41</v>
      </c>
    </row>
    <row r="10" spans="1:6">
      <c r="A10" s="3" t="s">
        <v>133</v>
      </c>
      <c r="B10" s="1">
        <v>9</v>
      </c>
      <c r="C10" s="1">
        <v>42</v>
      </c>
      <c r="D10" s="4">
        <v>50</v>
      </c>
    </row>
    <row r="11" spans="1:6" ht="28.5">
      <c r="A11" s="3" t="s">
        <v>134</v>
      </c>
      <c r="B11" s="1">
        <v>5</v>
      </c>
      <c r="C11" s="1">
        <v>51</v>
      </c>
      <c r="D11" s="4">
        <v>55</v>
      </c>
    </row>
    <row r="12" spans="1:6" ht="28.5">
      <c r="A12" s="6" t="s">
        <v>135</v>
      </c>
      <c r="B12" s="2">
        <v>7</v>
      </c>
      <c r="C12" s="2">
        <v>56</v>
      </c>
      <c r="D12" s="7">
        <v>62</v>
      </c>
    </row>
    <row r="15" spans="1:6" ht="18">
      <c r="A15" s="58" t="s">
        <v>136</v>
      </c>
      <c r="B15" s="59"/>
      <c r="C15" s="59"/>
      <c r="D15" s="59"/>
    </row>
    <row r="16" spans="1:6">
      <c r="A16" s="16" t="s">
        <v>137</v>
      </c>
      <c r="B16" s="16" t="s">
        <v>138</v>
      </c>
      <c r="C16" s="16"/>
      <c r="D16" s="60" t="s">
        <v>139</v>
      </c>
      <c r="E16" s="61"/>
      <c r="F16" s="61"/>
    </row>
    <row r="17" spans="1:6">
      <c r="A17" s="12">
        <v>1</v>
      </c>
      <c r="B17" s="51" t="s">
        <v>140</v>
      </c>
      <c r="C17" s="52"/>
      <c r="D17" s="49" t="s">
        <v>141</v>
      </c>
      <c r="E17" s="50"/>
      <c r="F17" s="50"/>
    </row>
    <row r="18" spans="1:6">
      <c r="A18" s="12">
        <v>2</v>
      </c>
      <c r="B18" s="51" t="s">
        <v>142</v>
      </c>
      <c r="C18" s="52"/>
      <c r="D18" s="49" t="s">
        <v>143</v>
      </c>
      <c r="E18" s="50"/>
      <c r="F18" s="50"/>
    </row>
    <row r="19" spans="1:6">
      <c r="A19" s="11">
        <v>3</v>
      </c>
      <c r="B19" s="53" t="s">
        <v>144</v>
      </c>
      <c r="C19" s="54"/>
      <c r="D19" s="47" t="s">
        <v>145</v>
      </c>
      <c r="E19" s="48"/>
      <c r="F19" s="48"/>
    </row>
    <row r="20" spans="1:6">
      <c r="A20" s="11">
        <v>4</v>
      </c>
      <c r="B20" s="53" t="s">
        <v>146</v>
      </c>
      <c r="C20" s="54"/>
      <c r="D20" s="47" t="s">
        <v>147</v>
      </c>
      <c r="E20" s="48"/>
      <c r="F20" s="48"/>
    </row>
    <row r="21" spans="1:6">
      <c r="A21" s="11">
        <v>5</v>
      </c>
      <c r="B21" s="53" t="s">
        <v>148</v>
      </c>
      <c r="C21" s="54"/>
      <c r="D21" s="47" t="s">
        <v>149</v>
      </c>
      <c r="E21" s="48"/>
      <c r="F21" s="48"/>
    </row>
    <row r="22" spans="1:6" ht="28.5">
      <c r="A22" s="16" t="s">
        <v>150</v>
      </c>
      <c r="B22" s="16" t="s">
        <v>138</v>
      </c>
      <c r="C22" s="16"/>
      <c r="D22" s="60" t="s">
        <v>139</v>
      </c>
      <c r="E22" s="61"/>
      <c r="F22" s="61"/>
    </row>
    <row r="23" spans="1:6">
      <c r="A23" s="11">
        <v>6</v>
      </c>
      <c r="B23" s="53" t="s">
        <v>151</v>
      </c>
      <c r="C23" s="54"/>
      <c r="D23" s="47" t="s">
        <v>152</v>
      </c>
      <c r="E23" s="48"/>
      <c r="F23" s="48"/>
    </row>
    <row r="24" spans="1:6">
      <c r="A24" s="11">
        <v>7</v>
      </c>
      <c r="B24" s="53" t="s">
        <v>153</v>
      </c>
      <c r="C24" s="54"/>
      <c r="D24" s="47" t="s">
        <v>154</v>
      </c>
      <c r="E24" s="48"/>
      <c r="F24" s="48"/>
    </row>
    <row r="25" spans="1:6">
      <c r="A25" s="11">
        <v>8</v>
      </c>
      <c r="B25" s="53" t="s">
        <v>155</v>
      </c>
      <c r="C25" s="54"/>
      <c r="D25" s="47" t="s">
        <v>156</v>
      </c>
      <c r="E25" s="48"/>
      <c r="F25" s="48"/>
    </row>
    <row r="26" spans="1:6">
      <c r="A26" s="11">
        <v>9</v>
      </c>
      <c r="B26" s="53" t="s">
        <v>157</v>
      </c>
      <c r="C26" s="54"/>
      <c r="D26" s="47" t="s">
        <v>158</v>
      </c>
      <c r="E26" s="48"/>
      <c r="F26" s="48"/>
    </row>
    <row r="27" spans="1:6" ht="14.25" customHeight="1">
      <c r="A27" s="12">
        <v>10</v>
      </c>
      <c r="B27" s="51" t="s">
        <v>159</v>
      </c>
      <c r="C27" s="52"/>
      <c r="D27" s="49" t="s">
        <v>160</v>
      </c>
      <c r="E27" s="50"/>
      <c r="F27" s="50"/>
    </row>
    <row r="28" spans="1:6" ht="28.5">
      <c r="A28" s="16" t="s">
        <v>161</v>
      </c>
      <c r="B28" s="16" t="s">
        <v>138</v>
      </c>
      <c r="C28" s="16"/>
      <c r="D28" s="60" t="s">
        <v>139</v>
      </c>
      <c r="E28" s="61"/>
      <c r="F28" s="61"/>
    </row>
    <row r="29" spans="1:6" ht="14.25" customHeight="1">
      <c r="A29" s="12">
        <v>11</v>
      </c>
      <c r="B29" s="51" t="s">
        <v>162</v>
      </c>
      <c r="C29" s="52"/>
      <c r="D29" s="49" t="s">
        <v>163</v>
      </c>
      <c r="E29" s="50"/>
      <c r="F29" s="50"/>
    </row>
    <row r="30" spans="1:6" ht="14.25" customHeight="1">
      <c r="A30" s="12">
        <v>12</v>
      </c>
      <c r="B30" s="51" t="s">
        <v>164</v>
      </c>
      <c r="C30" s="52"/>
      <c r="D30" s="49" t="s">
        <v>165</v>
      </c>
      <c r="E30" s="50"/>
      <c r="F30" s="50"/>
    </row>
    <row r="31" spans="1:6">
      <c r="A31" s="11">
        <v>13</v>
      </c>
      <c r="B31" s="53" t="s">
        <v>166</v>
      </c>
      <c r="C31" s="55"/>
      <c r="D31" s="47" t="s">
        <v>167</v>
      </c>
      <c r="E31" s="48"/>
      <c r="F31" s="48"/>
    </row>
    <row r="32" spans="1:6">
      <c r="A32" s="11">
        <v>14</v>
      </c>
      <c r="B32" s="53" t="s">
        <v>168</v>
      </c>
      <c r="C32" s="55"/>
      <c r="D32" s="47" t="s">
        <v>169</v>
      </c>
      <c r="E32" s="48"/>
      <c r="F32" s="48"/>
    </row>
    <row r="33" spans="1:6" ht="14.25" customHeight="1">
      <c r="A33" s="12">
        <v>15</v>
      </c>
      <c r="B33" s="51" t="s">
        <v>170</v>
      </c>
      <c r="C33" s="52"/>
      <c r="D33" s="49" t="s">
        <v>171</v>
      </c>
      <c r="E33" s="50"/>
      <c r="F33" s="50"/>
    </row>
    <row r="34" spans="1:6" ht="14.25" customHeight="1">
      <c r="A34" s="12">
        <v>16</v>
      </c>
      <c r="B34" s="51" t="s">
        <v>172</v>
      </c>
      <c r="C34" s="52"/>
      <c r="D34" s="49" t="s">
        <v>173</v>
      </c>
      <c r="E34" s="50"/>
      <c r="F34" s="50"/>
    </row>
    <row r="35" spans="1:6">
      <c r="A35" s="11">
        <v>17</v>
      </c>
      <c r="B35" s="53" t="s">
        <v>174</v>
      </c>
      <c r="C35" s="55"/>
      <c r="D35" s="47" t="s">
        <v>175</v>
      </c>
      <c r="E35" s="48"/>
      <c r="F35" s="48"/>
    </row>
    <row r="36" spans="1:6">
      <c r="A36" s="11">
        <v>18</v>
      </c>
      <c r="B36" s="53" t="s">
        <v>176</v>
      </c>
      <c r="C36" s="55"/>
      <c r="D36" s="47" t="s">
        <v>177</v>
      </c>
      <c r="E36" s="48"/>
      <c r="F36" s="48"/>
    </row>
    <row r="37" spans="1:6" ht="28.5">
      <c r="A37" s="16" t="s">
        <v>178</v>
      </c>
      <c r="B37" s="16" t="s">
        <v>138</v>
      </c>
      <c r="C37" s="16"/>
      <c r="D37" s="60" t="s">
        <v>139</v>
      </c>
      <c r="E37" s="61"/>
      <c r="F37" s="61"/>
    </row>
    <row r="38" spans="1:6">
      <c r="A38" s="11">
        <v>19</v>
      </c>
      <c r="B38" s="53" t="s">
        <v>179</v>
      </c>
      <c r="C38" s="55"/>
      <c r="D38" s="47" t="s">
        <v>180</v>
      </c>
      <c r="E38" s="48"/>
      <c r="F38" s="48"/>
    </row>
    <row r="39" spans="1:6">
      <c r="A39" s="11">
        <v>20</v>
      </c>
      <c r="B39" s="53" t="s">
        <v>181</v>
      </c>
      <c r="C39" s="55"/>
      <c r="D39" s="47" t="s">
        <v>182</v>
      </c>
      <c r="E39" s="48"/>
      <c r="F39" s="48"/>
    </row>
    <row r="40" spans="1:6">
      <c r="A40" s="11">
        <v>21</v>
      </c>
      <c r="B40" s="53" t="s">
        <v>183</v>
      </c>
      <c r="C40" s="55"/>
      <c r="D40" s="47" t="s">
        <v>184</v>
      </c>
      <c r="E40" s="48"/>
      <c r="F40" s="48"/>
    </row>
    <row r="41" spans="1:6" ht="14.25" customHeight="1">
      <c r="A41" s="12">
        <v>22</v>
      </c>
      <c r="B41" s="51" t="s">
        <v>185</v>
      </c>
      <c r="C41" s="52"/>
      <c r="D41" s="49" t="s">
        <v>186</v>
      </c>
      <c r="E41" s="50"/>
      <c r="F41" s="50"/>
    </row>
    <row r="42" spans="1:6">
      <c r="A42" s="11">
        <v>23</v>
      </c>
      <c r="B42" s="53" t="s">
        <v>187</v>
      </c>
      <c r="C42" s="55"/>
      <c r="D42" s="47" t="s">
        <v>188</v>
      </c>
      <c r="E42" s="48"/>
      <c r="F42" s="48"/>
    </row>
    <row r="43" spans="1:6">
      <c r="A43" s="11">
        <v>24</v>
      </c>
      <c r="B43" s="53" t="s">
        <v>189</v>
      </c>
      <c r="C43" s="55"/>
      <c r="D43" s="47" t="s">
        <v>190</v>
      </c>
      <c r="E43" s="48"/>
      <c r="F43" s="48"/>
    </row>
    <row r="44" spans="1:6">
      <c r="A44" s="11">
        <v>25</v>
      </c>
      <c r="B44" s="53" t="s">
        <v>191</v>
      </c>
      <c r="C44" s="55"/>
      <c r="D44" s="47" t="s">
        <v>192</v>
      </c>
      <c r="E44" s="48"/>
      <c r="F44" s="48"/>
    </row>
    <row r="45" spans="1:6">
      <c r="A45" s="11">
        <v>26</v>
      </c>
      <c r="B45" s="53" t="s">
        <v>193</v>
      </c>
      <c r="C45" s="55"/>
      <c r="D45" s="47" t="s">
        <v>194</v>
      </c>
      <c r="E45" s="48"/>
      <c r="F45" s="48"/>
    </row>
    <row r="46" spans="1:6" ht="28.5">
      <c r="A46" s="16" t="s">
        <v>195</v>
      </c>
      <c r="B46" s="16" t="s">
        <v>138</v>
      </c>
      <c r="C46" s="16"/>
      <c r="D46" s="60" t="s">
        <v>139</v>
      </c>
      <c r="E46" s="61"/>
      <c r="F46" s="61"/>
    </row>
    <row r="47" spans="1:6">
      <c r="A47" s="11">
        <v>27</v>
      </c>
      <c r="B47" s="53" t="s">
        <v>196</v>
      </c>
      <c r="C47" s="55"/>
      <c r="D47" s="47" t="s">
        <v>197</v>
      </c>
      <c r="E47" s="48"/>
      <c r="F47" s="48"/>
    </row>
    <row r="48" spans="1:6">
      <c r="A48" s="11">
        <v>28</v>
      </c>
      <c r="B48" s="53" t="s">
        <v>198</v>
      </c>
      <c r="C48" s="55"/>
      <c r="D48" s="47" t="s">
        <v>199</v>
      </c>
      <c r="E48" s="48"/>
      <c r="F48" s="48"/>
    </row>
    <row r="49" spans="1:6">
      <c r="A49" s="11">
        <v>29</v>
      </c>
      <c r="B49" s="53" t="s">
        <v>200</v>
      </c>
      <c r="C49" s="55"/>
      <c r="D49" s="47" t="s">
        <v>201</v>
      </c>
      <c r="E49" s="48"/>
      <c r="F49" s="48"/>
    </row>
    <row r="50" spans="1:6" ht="14.25" customHeight="1">
      <c r="A50" s="12">
        <v>30</v>
      </c>
      <c r="B50" s="51" t="s">
        <v>202</v>
      </c>
      <c r="C50" s="52"/>
      <c r="D50" s="49" t="s">
        <v>203</v>
      </c>
      <c r="E50" s="50"/>
      <c r="F50" s="50"/>
    </row>
    <row r="51" spans="1:6">
      <c r="A51" s="11">
        <v>31</v>
      </c>
      <c r="B51" s="53" t="s">
        <v>204</v>
      </c>
      <c r="C51" s="55"/>
      <c r="D51" s="47" t="s">
        <v>205</v>
      </c>
      <c r="E51" s="48"/>
      <c r="F51" s="48"/>
    </row>
    <row r="52" spans="1:6">
      <c r="A52" s="11">
        <v>32</v>
      </c>
      <c r="B52" s="53" t="s">
        <v>206</v>
      </c>
      <c r="C52" s="55"/>
      <c r="D52" s="47" t="s">
        <v>207</v>
      </c>
      <c r="E52" s="48"/>
      <c r="F52" s="48"/>
    </row>
    <row r="53" spans="1:6">
      <c r="A53" s="11">
        <v>33</v>
      </c>
      <c r="B53" s="53" t="s">
        <v>208</v>
      </c>
      <c r="C53" s="55"/>
      <c r="D53" s="47" t="s">
        <v>209</v>
      </c>
      <c r="E53" s="48"/>
      <c r="F53" s="48"/>
    </row>
    <row r="54" spans="1:6">
      <c r="A54" s="11">
        <v>34</v>
      </c>
      <c r="B54" s="53" t="s">
        <v>210</v>
      </c>
      <c r="C54" s="55"/>
      <c r="D54" s="47" t="s">
        <v>211</v>
      </c>
      <c r="E54" s="48"/>
      <c r="F54" s="48"/>
    </row>
    <row r="55" spans="1:6" ht="28.5">
      <c r="A55" s="16" t="s">
        <v>212</v>
      </c>
      <c r="B55" s="16" t="s">
        <v>138</v>
      </c>
      <c r="C55" s="16"/>
      <c r="D55" s="60" t="s">
        <v>139</v>
      </c>
      <c r="E55" s="61"/>
      <c r="F55" s="61"/>
    </row>
    <row r="56" spans="1:6">
      <c r="A56" s="11">
        <v>35</v>
      </c>
      <c r="B56" s="53" t="s">
        <v>213</v>
      </c>
      <c r="C56" s="55"/>
      <c r="D56" s="47" t="s">
        <v>214</v>
      </c>
      <c r="E56" s="48"/>
      <c r="F56" s="48"/>
    </row>
    <row r="57" spans="1:6">
      <c r="A57" s="11">
        <v>36</v>
      </c>
      <c r="B57" s="53" t="s">
        <v>215</v>
      </c>
      <c r="C57" s="55"/>
      <c r="D57" s="47" t="s">
        <v>216</v>
      </c>
      <c r="E57" s="48"/>
      <c r="F57" s="48"/>
    </row>
    <row r="58" spans="1:6">
      <c r="A58" s="11">
        <v>37</v>
      </c>
      <c r="B58" s="53" t="s">
        <v>217</v>
      </c>
      <c r="C58" s="55"/>
      <c r="D58" s="47" t="s">
        <v>218</v>
      </c>
      <c r="E58" s="48"/>
      <c r="F58" s="48"/>
    </row>
    <row r="59" spans="1:6" ht="28.5">
      <c r="A59" s="16" t="s">
        <v>219</v>
      </c>
      <c r="B59" s="16" t="s">
        <v>138</v>
      </c>
      <c r="C59" s="16"/>
      <c r="D59" s="60" t="s">
        <v>139</v>
      </c>
      <c r="E59" s="61"/>
      <c r="F59" s="61"/>
    </row>
    <row r="60" spans="1:6">
      <c r="A60" s="11">
        <v>38</v>
      </c>
      <c r="B60" s="53" t="s">
        <v>220</v>
      </c>
      <c r="C60" s="55"/>
      <c r="D60" s="47" t="s">
        <v>221</v>
      </c>
      <c r="E60" s="48"/>
      <c r="F60" s="48"/>
    </row>
    <row r="61" spans="1:6">
      <c r="A61" s="11">
        <v>39</v>
      </c>
      <c r="B61" s="53" t="s">
        <v>222</v>
      </c>
      <c r="C61" s="55"/>
      <c r="D61" s="47" t="s">
        <v>223</v>
      </c>
      <c r="E61" s="48"/>
      <c r="F61" s="48"/>
    </row>
    <row r="62" spans="1:6">
      <c r="A62" s="11">
        <v>40</v>
      </c>
      <c r="B62" s="53" t="s">
        <v>224</v>
      </c>
      <c r="C62" s="55"/>
      <c r="D62" s="47" t="s">
        <v>225</v>
      </c>
      <c r="E62" s="48"/>
      <c r="F62" s="48"/>
    </row>
    <row r="63" spans="1:6">
      <c r="A63" s="11">
        <v>41</v>
      </c>
      <c r="B63" s="53" t="s">
        <v>226</v>
      </c>
      <c r="C63" s="55"/>
      <c r="D63" s="47" t="s">
        <v>227</v>
      </c>
      <c r="E63" s="48"/>
      <c r="F63" s="48"/>
    </row>
    <row r="64" spans="1:6" ht="28.5">
      <c r="A64" s="16" t="s">
        <v>228</v>
      </c>
      <c r="B64" s="16" t="s">
        <v>138</v>
      </c>
      <c r="C64" s="16"/>
      <c r="D64" s="60" t="s">
        <v>139</v>
      </c>
      <c r="E64" s="61"/>
      <c r="F64" s="61"/>
    </row>
    <row r="65" spans="1:6">
      <c r="A65" s="11">
        <v>42</v>
      </c>
      <c r="B65" s="53" t="s">
        <v>229</v>
      </c>
      <c r="C65" s="55"/>
      <c r="D65" s="47" t="s">
        <v>230</v>
      </c>
      <c r="E65" s="48"/>
      <c r="F65" s="48"/>
    </row>
    <row r="66" spans="1:6">
      <c r="A66" s="11">
        <v>43</v>
      </c>
      <c r="B66" s="53" t="s">
        <v>231</v>
      </c>
      <c r="C66" s="55"/>
      <c r="D66" s="47" t="s">
        <v>232</v>
      </c>
      <c r="E66" s="48"/>
      <c r="F66" s="48"/>
    </row>
    <row r="67" spans="1:6">
      <c r="A67" s="11">
        <v>44</v>
      </c>
      <c r="B67" s="53" t="s">
        <v>233</v>
      </c>
      <c r="C67" s="55"/>
      <c r="D67" s="47" t="s">
        <v>234</v>
      </c>
      <c r="E67" s="48"/>
      <c r="F67" s="48"/>
    </row>
    <row r="68" spans="1:6">
      <c r="A68" s="11">
        <v>45</v>
      </c>
      <c r="B68" s="53" t="s">
        <v>235</v>
      </c>
      <c r="C68" s="55"/>
      <c r="D68" s="47" t="s">
        <v>236</v>
      </c>
      <c r="E68" s="48"/>
      <c r="F68" s="48"/>
    </row>
    <row r="69" spans="1:6">
      <c r="A69" s="11">
        <v>46</v>
      </c>
      <c r="B69" s="53" t="s">
        <v>237</v>
      </c>
      <c r="C69" s="55"/>
      <c r="D69" s="47" t="s">
        <v>238</v>
      </c>
      <c r="E69" s="48"/>
      <c r="F69" s="48"/>
    </row>
    <row r="70" spans="1:6">
      <c r="A70" s="11">
        <v>47</v>
      </c>
      <c r="B70" s="53" t="s">
        <v>239</v>
      </c>
      <c r="C70" s="55"/>
      <c r="D70" s="47" t="s">
        <v>240</v>
      </c>
      <c r="E70" s="48"/>
      <c r="F70" s="48"/>
    </row>
    <row r="71" spans="1:6">
      <c r="A71" s="11">
        <v>48</v>
      </c>
      <c r="B71" s="53" t="s">
        <v>241</v>
      </c>
      <c r="C71" s="55"/>
      <c r="D71" s="47" t="s">
        <v>242</v>
      </c>
      <c r="E71" s="48"/>
      <c r="F71" s="48"/>
    </row>
    <row r="72" spans="1:6">
      <c r="A72" s="11">
        <v>49</v>
      </c>
      <c r="B72" s="53" t="s">
        <v>243</v>
      </c>
      <c r="C72" s="55"/>
      <c r="D72" s="47" t="s">
        <v>244</v>
      </c>
      <c r="E72" s="48"/>
      <c r="F72" s="48"/>
    </row>
    <row r="73" spans="1:6">
      <c r="A73" s="11">
        <v>50</v>
      </c>
      <c r="B73" s="53" t="s">
        <v>245</v>
      </c>
      <c r="C73" s="55"/>
      <c r="D73" s="47" t="s">
        <v>246</v>
      </c>
      <c r="E73" s="48"/>
      <c r="F73" s="48"/>
    </row>
    <row r="74" spans="1:6" ht="28.5">
      <c r="A74" s="16" t="s">
        <v>247</v>
      </c>
      <c r="B74" s="16" t="s">
        <v>138</v>
      </c>
      <c r="C74" s="16"/>
      <c r="D74" s="60" t="s">
        <v>139</v>
      </c>
      <c r="E74" s="61"/>
      <c r="F74" s="61"/>
    </row>
    <row r="75" spans="1:6">
      <c r="A75" s="11">
        <v>51</v>
      </c>
      <c r="B75" s="53" t="s">
        <v>248</v>
      </c>
      <c r="C75" s="55"/>
      <c r="D75" s="47" t="s">
        <v>249</v>
      </c>
      <c r="E75" s="48"/>
      <c r="F75" s="48"/>
    </row>
    <row r="76" spans="1:6">
      <c r="A76" s="11">
        <v>52</v>
      </c>
      <c r="B76" s="53" t="s">
        <v>250</v>
      </c>
      <c r="C76" s="55"/>
      <c r="D76" s="47" t="s">
        <v>251</v>
      </c>
      <c r="E76" s="48"/>
      <c r="F76" s="48"/>
    </row>
    <row r="77" spans="1:6">
      <c r="A77" s="11">
        <v>53</v>
      </c>
      <c r="B77" s="53" t="s">
        <v>252</v>
      </c>
      <c r="C77" s="55"/>
      <c r="D77" s="47" t="s">
        <v>253</v>
      </c>
      <c r="E77" s="48"/>
      <c r="F77" s="48"/>
    </row>
    <row r="78" spans="1:6">
      <c r="A78" s="11">
        <v>54</v>
      </c>
      <c r="B78" s="53" t="s">
        <v>254</v>
      </c>
      <c r="C78" s="55"/>
      <c r="D78" s="47" t="s">
        <v>255</v>
      </c>
      <c r="E78" s="48"/>
      <c r="F78" s="48"/>
    </row>
    <row r="79" spans="1:6">
      <c r="A79" s="11">
        <v>55</v>
      </c>
      <c r="B79" s="53" t="s">
        <v>256</v>
      </c>
      <c r="C79" s="55"/>
      <c r="D79" s="47" t="s">
        <v>257</v>
      </c>
      <c r="E79" s="48"/>
      <c r="F79" s="48"/>
    </row>
    <row r="80" spans="1:6">
      <c r="A80" s="16" t="s">
        <v>258</v>
      </c>
      <c r="B80" s="16" t="s">
        <v>138</v>
      </c>
      <c r="C80" s="16"/>
      <c r="D80" s="60" t="s">
        <v>139</v>
      </c>
      <c r="E80" s="61"/>
      <c r="F80" s="61"/>
    </row>
    <row r="81" spans="1:6" ht="14.25" customHeight="1">
      <c r="A81" s="12">
        <v>56</v>
      </c>
      <c r="B81" s="51" t="s">
        <v>259</v>
      </c>
      <c r="C81" s="52"/>
      <c r="D81" s="49" t="s">
        <v>260</v>
      </c>
      <c r="E81" s="50"/>
      <c r="F81" s="50"/>
    </row>
    <row r="82" spans="1:6">
      <c r="A82" s="11">
        <v>57</v>
      </c>
      <c r="B82" s="53" t="s">
        <v>261</v>
      </c>
      <c r="C82" s="55"/>
      <c r="D82" s="47" t="s">
        <v>260</v>
      </c>
      <c r="E82" s="48"/>
      <c r="F82" s="48"/>
    </row>
    <row r="83" spans="1:6" ht="14.25" customHeight="1">
      <c r="A83" s="12">
        <v>58</v>
      </c>
      <c r="B83" s="51" t="s">
        <v>262</v>
      </c>
      <c r="C83" s="52"/>
      <c r="D83" s="49" t="s">
        <v>260</v>
      </c>
      <c r="E83" s="50"/>
      <c r="F83" s="50"/>
    </row>
    <row r="84" spans="1:6">
      <c r="A84" s="11">
        <v>59</v>
      </c>
      <c r="B84" s="53" t="s">
        <v>263</v>
      </c>
      <c r="C84" s="55"/>
      <c r="D84" s="47" t="s">
        <v>260</v>
      </c>
      <c r="E84" s="48"/>
      <c r="F84" s="48"/>
    </row>
    <row r="85" spans="1:6">
      <c r="A85" s="11">
        <v>60</v>
      </c>
      <c r="B85" s="53" t="s">
        <v>264</v>
      </c>
      <c r="C85" s="55"/>
      <c r="D85" s="47" t="s">
        <v>260</v>
      </c>
      <c r="E85" s="48"/>
      <c r="F85" s="48"/>
    </row>
    <row r="86" spans="1:6">
      <c r="A86" s="11">
        <v>61</v>
      </c>
      <c r="B86" s="53" t="s">
        <v>265</v>
      </c>
      <c r="C86" s="55"/>
      <c r="D86" s="47" t="s">
        <v>260</v>
      </c>
      <c r="E86" s="48"/>
      <c r="F86" s="48"/>
    </row>
    <row r="87" spans="1:6">
      <c r="A87" s="11">
        <v>62</v>
      </c>
      <c r="B87" s="53" t="s">
        <v>266</v>
      </c>
      <c r="C87" s="55"/>
      <c r="D87" s="47" t="s">
        <v>260</v>
      </c>
      <c r="E87" s="48"/>
      <c r="F87" s="48"/>
    </row>
    <row r="88" spans="1:6">
      <c r="D88" s="10"/>
    </row>
  </sheetData>
  <mergeCells count="126">
    <mergeCell ref="D87:F87"/>
    <mergeCell ref="D32:F32"/>
    <mergeCell ref="D33:F33"/>
    <mergeCell ref="D38:F38"/>
    <mergeCell ref="D39:F39"/>
    <mergeCell ref="D40:F40"/>
    <mergeCell ref="D63:F63"/>
    <mergeCell ref="B83:C83"/>
    <mergeCell ref="B84:C84"/>
    <mergeCell ref="B85:C85"/>
    <mergeCell ref="B86:C86"/>
    <mergeCell ref="B87:C87"/>
    <mergeCell ref="B77:C77"/>
    <mergeCell ref="B78:C78"/>
    <mergeCell ref="B79:C79"/>
    <mergeCell ref="B81:C81"/>
    <mergeCell ref="B82:C82"/>
    <mergeCell ref="B70:C70"/>
    <mergeCell ref="B71:C71"/>
    <mergeCell ref="B72:C72"/>
    <mergeCell ref="B73:C73"/>
    <mergeCell ref="B75:C75"/>
    <mergeCell ref="B76:C76"/>
    <mergeCell ref="B63:C63"/>
    <mergeCell ref="B65:C65"/>
    <mergeCell ref="B66:C66"/>
    <mergeCell ref="B67:C67"/>
    <mergeCell ref="B68:C68"/>
    <mergeCell ref="B69:C69"/>
    <mergeCell ref="B56:C56"/>
    <mergeCell ref="B57:C57"/>
    <mergeCell ref="B58:C58"/>
    <mergeCell ref="B60:C60"/>
    <mergeCell ref="B61:C61"/>
    <mergeCell ref="B62:C62"/>
    <mergeCell ref="B49:C49"/>
    <mergeCell ref="B50:C50"/>
    <mergeCell ref="B52:C52"/>
    <mergeCell ref="B51:C51"/>
    <mergeCell ref="B53:C53"/>
    <mergeCell ref="B54:C54"/>
    <mergeCell ref="B43:C43"/>
    <mergeCell ref="B42:C42"/>
    <mergeCell ref="B44:C44"/>
    <mergeCell ref="B45:C45"/>
    <mergeCell ref="B47:C47"/>
    <mergeCell ref="B48:C48"/>
    <mergeCell ref="B38:C38"/>
    <mergeCell ref="B39:C39"/>
    <mergeCell ref="B40:C40"/>
    <mergeCell ref="B41:C41"/>
    <mergeCell ref="B29:C29"/>
    <mergeCell ref="B30:C30"/>
    <mergeCell ref="B31:C31"/>
    <mergeCell ref="B32:C32"/>
    <mergeCell ref="B33:C33"/>
    <mergeCell ref="B34:C34"/>
    <mergeCell ref="B25:C25"/>
    <mergeCell ref="B26:C26"/>
    <mergeCell ref="B27:C27"/>
    <mergeCell ref="D23:F23"/>
    <mergeCell ref="D24:F24"/>
    <mergeCell ref="D25:F25"/>
    <mergeCell ref="D26:F26"/>
    <mergeCell ref="B35:C35"/>
    <mergeCell ref="B36:C36"/>
    <mergeCell ref="D82:F82"/>
    <mergeCell ref="D54:F54"/>
    <mergeCell ref="D56:F56"/>
    <mergeCell ref="D57:F57"/>
    <mergeCell ref="D58:F58"/>
    <mergeCell ref="D60:F60"/>
    <mergeCell ref="D48:F48"/>
    <mergeCell ref="D49:F49"/>
    <mergeCell ref="D50:F50"/>
    <mergeCell ref="D51:F51"/>
    <mergeCell ref="D52:F52"/>
    <mergeCell ref="D53:F53"/>
    <mergeCell ref="D83:F83"/>
    <mergeCell ref="D84:F84"/>
    <mergeCell ref="D85:F85"/>
    <mergeCell ref="D86:F86"/>
    <mergeCell ref="D29:F29"/>
    <mergeCell ref="D30:F30"/>
    <mergeCell ref="D31:F31"/>
    <mergeCell ref="D75:F75"/>
    <mergeCell ref="D76:F76"/>
    <mergeCell ref="D77:F77"/>
    <mergeCell ref="D78:F78"/>
    <mergeCell ref="D81:F81"/>
    <mergeCell ref="D79:F79"/>
    <mergeCell ref="D68:F68"/>
    <mergeCell ref="D69:F69"/>
    <mergeCell ref="D70:F70"/>
    <mergeCell ref="D71:F71"/>
    <mergeCell ref="D72:F72"/>
    <mergeCell ref="D73:F73"/>
    <mergeCell ref="D61:F61"/>
    <mergeCell ref="D62:F62"/>
    <mergeCell ref="D66:F66"/>
    <mergeCell ref="D65:F65"/>
    <mergeCell ref="D67:F67"/>
    <mergeCell ref="D44:F44"/>
    <mergeCell ref="D47:F47"/>
    <mergeCell ref="D34:F34"/>
    <mergeCell ref="D35:F35"/>
    <mergeCell ref="D36:F36"/>
    <mergeCell ref="D27:F27"/>
    <mergeCell ref="D20:F20"/>
    <mergeCell ref="D21:F21"/>
    <mergeCell ref="A1:D1"/>
    <mergeCell ref="A15:D15"/>
    <mergeCell ref="B17:C17"/>
    <mergeCell ref="B18:C18"/>
    <mergeCell ref="B19:C19"/>
    <mergeCell ref="B20:C20"/>
    <mergeCell ref="B21:C21"/>
    <mergeCell ref="D17:F17"/>
    <mergeCell ref="D18:F18"/>
    <mergeCell ref="D19:F19"/>
    <mergeCell ref="D41:F41"/>
    <mergeCell ref="D42:F42"/>
    <mergeCell ref="D43:F43"/>
    <mergeCell ref="D45:F45"/>
    <mergeCell ref="B23:C23"/>
    <mergeCell ref="B24:C24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664FB-32FB-40ED-A3BC-22E3D6527EEC}">
  <dimension ref="A1:N78"/>
  <sheetViews>
    <sheetView workbookViewId="0">
      <selection activeCell="C52" sqref="C52"/>
    </sheetView>
  </sheetViews>
  <sheetFormatPr defaultRowHeight="14.25"/>
  <cols>
    <col min="1" max="1" width="25" customWidth="1"/>
    <col min="2" max="2" width="58" customWidth="1"/>
    <col min="3" max="3" width="13.7109375" customWidth="1"/>
    <col min="4" max="4" width="4.7109375" customWidth="1"/>
    <col min="5" max="5" width="13.7109375" customWidth="1"/>
    <col min="6" max="6" width="12" customWidth="1"/>
    <col min="7" max="8" width="14" customWidth="1"/>
    <col min="9" max="9" width="18" customWidth="1"/>
    <col min="10" max="10" width="14" customWidth="1"/>
    <col min="11" max="11" width="12" customWidth="1"/>
    <col min="12" max="12" width="40" customWidth="1"/>
    <col min="13" max="13" width="28" customWidth="1"/>
    <col min="14" max="14" width="32" customWidth="1"/>
  </cols>
  <sheetData>
    <row r="1" spans="1:14">
      <c r="A1" s="25" t="s">
        <v>267</v>
      </c>
      <c r="B1" s="25" t="s">
        <v>268</v>
      </c>
      <c r="C1" s="25" t="s">
        <v>269</v>
      </c>
      <c r="D1" s="25"/>
    </row>
    <row r="2" spans="1:14">
      <c r="A2" t="s">
        <v>270</v>
      </c>
      <c r="B2" s="26">
        <v>43.9</v>
      </c>
      <c r="C2" s="31">
        <f>$B$2</f>
        <v>43.9</v>
      </c>
    </row>
    <row r="3" spans="1:14">
      <c r="A3" t="s">
        <v>271</v>
      </c>
      <c r="B3" s="26">
        <v>51.43</v>
      </c>
      <c r="C3" s="31">
        <f>$B$3</f>
        <v>51.43</v>
      </c>
    </row>
    <row r="4" spans="1:14">
      <c r="A4" t="s">
        <v>272</v>
      </c>
      <c r="B4" s="26">
        <v>35.44</v>
      </c>
      <c r="C4" s="31">
        <f>$B$4</f>
        <v>35.44</v>
      </c>
    </row>
    <row r="5" spans="1:14">
      <c r="A5" t="s">
        <v>273</v>
      </c>
      <c r="B5" s="26">
        <v>22.47</v>
      </c>
      <c r="C5" s="31">
        <f>$B$5</f>
        <v>22.47</v>
      </c>
    </row>
    <row r="6" spans="1:14">
      <c r="A6" t="s">
        <v>274</v>
      </c>
      <c r="B6" s="26">
        <v>28.51</v>
      </c>
      <c r="C6" s="31">
        <f>$B$6</f>
        <v>28.51</v>
      </c>
    </row>
    <row r="8" spans="1:14" ht="28.5">
      <c r="A8" s="16" t="s">
        <v>275</v>
      </c>
      <c r="B8" s="16" t="s">
        <v>276</v>
      </c>
      <c r="C8" s="16" t="s">
        <v>277</v>
      </c>
      <c r="D8" s="16" t="s">
        <v>278</v>
      </c>
      <c r="E8" s="16" t="s">
        <v>279</v>
      </c>
      <c r="F8" s="16" t="s">
        <v>18</v>
      </c>
      <c r="G8" s="16" t="s">
        <v>280</v>
      </c>
      <c r="H8" s="37" t="s">
        <v>281</v>
      </c>
      <c r="I8" s="17" t="s">
        <v>282</v>
      </c>
      <c r="J8" s="17" t="s">
        <v>283</v>
      </c>
      <c r="K8" s="17" t="s">
        <v>284</v>
      </c>
      <c r="L8" s="16" t="s">
        <v>285</v>
      </c>
      <c r="M8" s="16" t="s">
        <v>286</v>
      </c>
      <c r="N8" s="18" t="s">
        <v>287</v>
      </c>
    </row>
    <row r="9" spans="1:14">
      <c r="A9" s="32" t="s">
        <v>288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</row>
    <row r="10" spans="1:14">
      <c r="A10" s="1" t="s">
        <v>289</v>
      </c>
      <c r="B10" s="1" t="s">
        <v>290</v>
      </c>
      <c r="C10" s="1">
        <v>1</v>
      </c>
      <c r="D10" s="1" t="s">
        <v>291</v>
      </c>
      <c r="E10" s="19">
        <v>4</v>
      </c>
      <c r="F10" s="19">
        <v>4</v>
      </c>
      <c r="G10" s="31">
        <f>$B$3</f>
        <v>51.43</v>
      </c>
      <c r="H10" s="20">
        <f>F10*G10</f>
        <v>205.72</v>
      </c>
      <c r="I10" s="20"/>
      <c r="J10" s="20"/>
      <c r="K10" s="39">
        <f>SUM(H10+J10)</f>
        <v>205.72</v>
      </c>
      <c r="L10" s="1" t="s">
        <v>292</v>
      </c>
      <c r="M10" s="1" t="s">
        <v>293</v>
      </c>
      <c r="N10" t="s">
        <v>271</v>
      </c>
    </row>
    <row r="11" spans="1:14">
      <c r="A11" s="1" t="s">
        <v>289</v>
      </c>
      <c r="B11" s="1" t="s">
        <v>294</v>
      </c>
      <c r="C11" s="1">
        <v>1</v>
      </c>
      <c r="D11" s="1" t="s">
        <v>291</v>
      </c>
      <c r="E11" s="19">
        <v>6</v>
      </c>
      <c r="F11" s="19">
        <v>6</v>
      </c>
      <c r="G11" s="31">
        <f>$B$3</f>
        <v>51.43</v>
      </c>
      <c r="H11" s="20">
        <f t="shared" ref="H11:H74" si="0">F11*G11</f>
        <v>308.58</v>
      </c>
      <c r="I11" s="20"/>
      <c r="J11" s="20"/>
      <c r="K11" s="39">
        <f t="shared" ref="K11:K74" si="1">SUM(H11+J11)</f>
        <v>308.58</v>
      </c>
      <c r="L11" s="1" t="s">
        <v>295</v>
      </c>
      <c r="M11" s="1" t="s">
        <v>296</v>
      </c>
      <c r="N11" t="s">
        <v>271</v>
      </c>
    </row>
    <row r="12" spans="1:14">
      <c r="A12" s="1" t="s">
        <v>289</v>
      </c>
      <c r="B12" s="1" t="s">
        <v>297</v>
      </c>
      <c r="C12" s="1">
        <v>1</v>
      </c>
      <c r="D12" s="1" t="s">
        <v>291</v>
      </c>
      <c r="E12" s="19">
        <v>10</v>
      </c>
      <c r="F12" s="19">
        <v>10</v>
      </c>
      <c r="G12" s="31">
        <f>$B$6</f>
        <v>28.51</v>
      </c>
      <c r="H12" s="20">
        <f t="shared" si="0"/>
        <v>285.10000000000002</v>
      </c>
      <c r="I12" s="20"/>
      <c r="J12" s="20"/>
      <c r="K12" s="39">
        <f t="shared" si="1"/>
        <v>285.10000000000002</v>
      </c>
      <c r="L12" s="1" t="s">
        <v>298</v>
      </c>
      <c r="M12" s="1" t="s">
        <v>299</v>
      </c>
      <c r="N12" t="s">
        <v>274</v>
      </c>
    </row>
    <row r="13" spans="1:14">
      <c r="A13" s="1" t="s">
        <v>289</v>
      </c>
      <c r="B13" s="1" t="s">
        <v>300</v>
      </c>
      <c r="C13" s="1">
        <v>1</v>
      </c>
      <c r="D13" s="1" t="s">
        <v>291</v>
      </c>
      <c r="E13" s="19">
        <v>16</v>
      </c>
      <c r="F13" s="19">
        <v>16</v>
      </c>
      <c r="G13" s="31">
        <f>$B$4</f>
        <v>35.44</v>
      </c>
      <c r="H13" s="20">
        <f t="shared" si="0"/>
        <v>567.04</v>
      </c>
      <c r="I13" s="20"/>
      <c r="J13" s="20"/>
      <c r="K13" s="39">
        <f t="shared" si="1"/>
        <v>567.04</v>
      </c>
      <c r="L13" s="1" t="s">
        <v>301</v>
      </c>
      <c r="M13" s="1" t="s">
        <v>302</v>
      </c>
      <c r="N13" t="s">
        <v>272</v>
      </c>
    </row>
    <row r="14" spans="1:14">
      <c r="A14" s="1" t="s">
        <v>289</v>
      </c>
      <c r="B14" s="1" t="s">
        <v>303</v>
      </c>
      <c r="C14" s="1">
        <v>1</v>
      </c>
      <c r="D14" s="1" t="s">
        <v>291</v>
      </c>
      <c r="E14" s="19">
        <v>12</v>
      </c>
      <c r="F14" s="19">
        <v>12</v>
      </c>
      <c r="G14" s="31">
        <f>$B$3</f>
        <v>51.43</v>
      </c>
      <c r="H14" s="20">
        <f t="shared" si="0"/>
        <v>617.16</v>
      </c>
      <c r="I14" s="20"/>
      <c r="J14" s="20"/>
      <c r="K14" s="39">
        <f t="shared" si="1"/>
        <v>617.16</v>
      </c>
      <c r="L14" s="1" t="s">
        <v>304</v>
      </c>
      <c r="M14" s="1" t="s">
        <v>305</v>
      </c>
      <c r="N14" t="s">
        <v>271</v>
      </c>
    </row>
    <row r="15" spans="1:14">
      <c r="A15" s="32" t="s">
        <v>306</v>
      </c>
      <c r="B15" s="33"/>
      <c r="C15" s="33"/>
      <c r="D15" s="33"/>
      <c r="E15" s="34"/>
      <c r="F15" s="33"/>
      <c r="G15" s="33"/>
      <c r="H15" s="33"/>
      <c r="I15" s="33"/>
      <c r="J15" s="33"/>
      <c r="K15" s="40"/>
      <c r="L15" s="33"/>
      <c r="M15" s="33"/>
    </row>
    <row r="16" spans="1:14">
      <c r="A16" s="1" t="s">
        <v>289</v>
      </c>
      <c r="B16" s="1" t="s">
        <v>307</v>
      </c>
      <c r="C16" s="1">
        <v>1</v>
      </c>
      <c r="D16" s="1" t="s">
        <v>291</v>
      </c>
      <c r="E16" s="19">
        <v>8</v>
      </c>
      <c r="F16" s="19">
        <v>8</v>
      </c>
      <c r="G16" s="31">
        <f>$B$3</f>
        <v>51.43</v>
      </c>
      <c r="H16" s="20">
        <f t="shared" si="0"/>
        <v>411.44</v>
      </c>
      <c r="I16" s="20"/>
      <c r="J16" s="20"/>
      <c r="K16" s="39">
        <f t="shared" si="1"/>
        <v>411.44</v>
      </c>
      <c r="L16" s="1" t="s">
        <v>308</v>
      </c>
      <c r="M16" s="1" t="s">
        <v>309</v>
      </c>
      <c r="N16" t="s">
        <v>271</v>
      </c>
    </row>
    <row r="17" spans="1:14">
      <c r="A17" s="1" t="s">
        <v>310</v>
      </c>
      <c r="B17" s="1" t="s">
        <v>311</v>
      </c>
      <c r="C17" s="1">
        <v>1</v>
      </c>
      <c r="D17" s="1" t="s">
        <v>291</v>
      </c>
      <c r="E17" s="19"/>
      <c r="F17" s="19"/>
      <c r="G17" s="20"/>
      <c r="H17" s="20"/>
      <c r="I17" s="20">
        <v>500</v>
      </c>
      <c r="J17" s="20">
        <f t="shared" ref="J17:J70" si="2">C17*I17</f>
        <v>500</v>
      </c>
      <c r="K17" s="39">
        <f t="shared" si="1"/>
        <v>500</v>
      </c>
      <c r="L17" s="1" t="s">
        <v>312</v>
      </c>
      <c r="M17" s="1" t="s">
        <v>313</v>
      </c>
    </row>
    <row r="18" spans="1:14">
      <c r="A18" s="32" t="s">
        <v>314</v>
      </c>
      <c r="B18" s="33"/>
      <c r="C18" s="33"/>
      <c r="D18" s="33"/>
      <c r="E18" s="34"/>
      <c r="F18" s="33"/>
      <c r="G18" s="33"/>
      <c r="H18" s="33"/>
      <c r="I18" s="33"/>
      <c r="J18" s="33"/>
      <c r="K18" s="40"/>
      <c r="L18" s="33"/>
      <c r="M18" s="33"/>
    </row>
    <row r="19" spans="1:14">
      <c r="A19" s="1" t="s">
        <v>315</v>
      </c>
      <c r="B19" s="1" t="s">
        <v>316</v>
      </c>
      <c r="C19" s="1">
        <v>1</v>
      </c>
      <c r="D19" s="1" t="s">
        <v>317</v>
      </c>
      <c r="E19" s="19">
        <v>6</v>
      </c>
      <c r="F19" s="19">
        <v>6</v>
      </c>
      <c r="G19" s="31">
        <f>$B$2</f>
        <v>43.9</v>
      </c>
      <c r="H19" s="20">
        <f t="shared" si="0"/>
        <v>263.39999999999998</v>
      </c>
      <c r="I19" s="20">
        <v>2500</v>
      </c>
      <c r="J19" s="20">
        <f t="shared" si="2"/>
        <v>2500</v>
      </c>
      <c r="K19" s="39">
        <f t="shared" si="1"/>
        <v>2763.4</v>
      </c>
      <c r="L19" s="1" t="s">
        <v>318</v>
      </c>
      <c r="M19" s="1" t="s">
        <v>319</v>
      </c>
      <c r="N19" t="s">
        <v>270</v>
      </c>
    </row>
    <row r="20" spans="1:14" ht="28.5">
      <c r="A20" s="1" t="s">
        <v>315</v>
      </c>
      <c r="B20" s="1" t="s">
        <v>320</v>
      </c>
      <c r="C20" s="1">
        <v>174</v>
      </c>
      <c r="D20" s="1" t="s">
        <v>321</v>
      </c>
      <c r="E20" s="19">
        <v>0.18</v>
      </c>
      <c r="F20" s="19">
        <v>31.32</v>
      </c>
      <c r="G20" s="31">
        <f>$B$2</f>
        <v>43.9</v>
      </c>
      <c r="H20" s="20">
        <f t="shared" si="0"/>
        <v>1374.9479999999999</v>
      </c>
      <c r="I20" s="20">
        <v>18</v>
      </c>
      <c r="J20" s="20">
        <f t="shared" si="2"/>
        <v>3132</v>
      </c>
      <c r="K20" s="39">
        <f t="shared" si="1"/>
        <v>4506.9480000000003</v>
      </c>
      <c r="L20" s="1" t="s">
        <v>322</v>
      </c>
      <c r="M20" s="1" t="s">
        <v>323</v>
      </c>
      <c r="N20" t="s">
        <v>270</v>
      </c>
    </row>
    <row r="21" spans="1:14">
      <c r="A21" s="1" t="s">
        <v>315</v>
      </c>
      <c r="B21" s="1" t="s">
        <v>324</v>
      </c>
      <c r="C21" s="1">
        <v>174</v>
      </c>
      <c r="D21" s="1" t="s">
        <v>321</v>
      </c>
      <c r="E21" s="19">
        <v>0.12</v>
      </c>
      <c r="F21" s="19">
        <v>20.88</v>
      </c>
      <c r="G21" s="31">
        <f>$B$2</f>
        <v>43.9</v>
      </c>
      <c r="H21" s="20">
        <f t="shared" si="0"/>
        <v>916.63199999999995</v>
      </c>
      <c r="I21" s="20">
        <v>18</v>
      </c>
      <c r="J21" s="20">
        <f t="shared" si="2"/>
        <v>3132</v>
      </c>
      <c r="K21" s="39">
        <f t="shared" si="1"/>
        <v>4048.6320000000001</v>
      </c>
      <c r="L21" s="1" t="s">
        <v>325</v>
      </c>
      <c r="M21" s="1" t="s">
        <v>326</v>
      </c>
      <c r="N21" t="s">
        <v>270</v>
      </c>
    </row>
    <row r="22" spans="1:14">
      <c r="A22" s="1" t="s">
        <v>315</v>
      </c>
      <c r="B22" s="1" t="s">
        <v>327</v>
      </c>
      <c r="C22" s="1">
        <v>4</v>
      </c>
      <c r="D22" s="1" t="s">
        <v>317</v>
      </c>
      <c r="E22" s="19">
        <v>1.75</v>
      </c>
      <c r="F22" s="19">
        <v>7</v>
      </c>
      <c r="G22" s="31">
        <f>$B$2</f>
        <v>43.9</v>
      </c>
      <c r="H22" s="20">
        <f t="shared" si="0"/>
        <v>307.3</v>
      </c>
      <c r="I22" s="20">
        <v>250</v>
      </c>
      <c r="J22" s="20">
        <f t="shared" si="2"/>
        <v>1000</v>
      </c>
      <c r="K22" s="39">
        <f t="shared" si="1"/>
        <v>1307.3</v>
      </c>
      <c r="L22" s="1" t="s">
        <v>328</v>
      </c>
      <c r="M22" s="1" t="s">
        <v>329</v>
      </c>
      <c r="N22" t="s">
        <v>270</v>
      </c>
    </row>
    <row r="23" spans="1:14">
      <c r="A23" s="1" t="s">
        <v>315</v>
      </c>
      <c r="B23" s="1" t="s">
        <v>330</v>
      </c>
      <c r="C23" s="1">
        <v>6</v>
      </c>
      <c r="D23" s="1" t="s">
        <v>317</v>
      </c>
      <c r="E23" s="19">
        <v>1.25</v>
      </c>
      <c r="F23" s="19">
        <v>7.5</v>
      </c>
      <c r="G23" s="31">
        <f>$B$5</f>
        <v>22.47</v>
      </c>
      <c r="H23" s="20">
        <f t="shared" si="0"/>
        <v>168.52499999999998</v>
      </c>
      <c r="I23" s="20">
        <v>50</v>
      </c>
      <c r="J23" s="20">
        <f t="shared" si="2"/>
        <v>300</v>
      </c>
      <c r="K23" s="39">
        <f t="shared" si="1"/>
        <v>468.52499999999998</v>
      </c>
      <c r="L23" s="1" t="s">
        <v>331</v>
      </c>
      <c r="M23" s="1" t="s">
        <v>332</v>
      </c>
      <c r="N23" t="s">
        <v>273</v>
      </c>
    </row>
    <row r="24" spans="1:14">
      <c r="A24" s="1" t="s">
        <v>315</v>
      </c>
      <c r="B24" s="1" t="s">
        <v>333</v>
      </c>
      <c r="C24" s="1">
        <v>6</v>
      </c>
      <c r="D24" s="1" t="s">
        <v>317</v>
      </c>
      <c r="E24" s="19">
        <v>0.35</v>
      </c>
      <c r="F24" s="19">
        <v>2.1</v>
      </c>
      <c r="G24" s="31">
        <f>$B$5</f>
        <v>22.47</v>
      </c>
      <c r="H24" s="20">
        <f t="shared" si="0"/>
        <v>47.186999999999998</v>
      </c>
      <c r="I24" s="20">
        <v>25</v>
      </c>
      <c r="J24" s="20">
        <f t="shared" si="2"/>
        <v>150</v>
      </c>
      <c r="K24" s="39">
        <f t="shared" si="1"/>
        <v>197.18700000000001</v>
      </c>
      <c r="L24" s="1" t="s">
        <v>334</v>
      </c>
      <c r="M24" s="1" t="s">
        <v>335</v>
      </c>
      <c r="N24" t="s">
        <v>273</v>
      </c>
    </row>
    <row r="25" spans="1:14">
      <c r="A25" s="1" t="s">
        <v>289</v>
      </c>
      <c r="B25" s="1" t="s">
        <v>336</v>
      </c>
      <c r="C25" s="1">
        <v>1</v>
      </c>
      <c r="D25" s="1" t="s">
        <v>337</v>
      </c>
      <c r="E25" s="19">
        <v>4</v>
      </c>
      <c r="F25" s="19">
        <v>4</v>
      </c>
      <c r="G25" s="31">
        <f>$B$2</f>
        <v>43.9</v>
      </c>
      <c r="H25" s="20">
        <f t="shared" si="0"/>
        <v>175.6</v>
      </c>
      <c r="I25" s="20"/>
      <c r="J25" s="20"/>
      <c r="K25" s="39">
        <f t="shared" si="1"/>
        <v>175.6</v>
      </c>
      <c r="L25" s="1" t="s">
        <v>338</v>
      </c>
      <c r="M25" s="1" t="s">
        <v>339</v>
      </c>
      <c r="N25" t="s">
        <v>270</v>
      </c>
    </row>
    <row r="26" spans="1:14">
      <c r="A26" s="1" t="s">
        <v>289</v>
      </c>
      <c r="B26" s="1" t="s">
        <v>340</v>
      </c>
      <c r="C26" s="1">
        <v>1</v>
      </c>
      <c r="D26" s="1" t="s">
        <v>337</v>
      </c>
      <c r="E26" s="19">
        <v>4</v>
      </c>
      <c r="F26" s="19">
        <v>4</v>
      </c>
      <c r="G26" s="31">
        <f>$B$2</f>
        <v>43.9</v>
      </c>
      <c r="H26" s="20">
        <f t="shared" si="0"/>
        <v>175.6</v>
      </c>
      <c r="I26" s="20"/>
      <c r="J26" s="20"/>
      <c r="K26" s="39">
        <f t="shared" si="1"/>
        <v>175.6</v>
      </c>
      <c r="L26" s="1" t="s">
        <v>338</v>
      </c>
      <c r="M26" s="1" t="s">
        <v>341</v>
      </c>
      <c r="N26" t="s">
        <v>270</v>
      </c>
    </row>
    <row r="27" spans="1:14">
      <c r="A27" s="1" t="s">
        <v>315</v>
      </c>
      <c r="B27" s="1" t="s">
        <v>342</v>
      </c>
      <c r="C27" s="1">
        <v>1</v>
      </c>
      <c r="D27" s="1" t="s">
        <v>291</v>
      </c>
      <c r="E27" s="19">
        <v>4</v>
      </c>
      <c r="F27" s="19">
        <v>4</v>
      </c>
      <c r="G27" s="31">
        <f>$B$2</f>
        <v>43.9</v>
      </c>
      <c r="H27" s="20">
        <f t="shared" si="0"/>
        <v>175.6</v>
      </c>
      <c r="I27" s="20">
        <v>200</v>
      </c>
      <c r="J27" s="20">
        <f t="shared" si="2"/>
        <v>200</v>
      </c>
      <c r="K27" s="39">
        <f t="shared" si="1"/>
        <v>375.6</v>
      </c>
      <c r="L27" s="1" t="s">
        <v>343</v>
      </c>
      <c r="M27" s="1" t="s">
        <v>344</v>
      </c>
      <c r="N27" t="s">
        <v>270</v>
      </c>
    </row>
    <row r="28" spans="1:14">
      <c r="A28" s="1" t="s">
        <v>315</v>
      </c>
      <c r="B28" s="1" t="s">
        <v>345</v>
      </c>
      <c r="C28" s="1">
        <v>1</v>
      </c>
      <c r="D28" s="1" t="s">
        <v>291</v>
      </c>
      <c r="E28" s="19">
        <v>3</v>
      </c>
      <c r="F28" s="19">
        <v>3</v>
      </c>
      <c r="G28" s="31">
        <f>$B$2</f>
        <v>43.9</v>
      </c>
      <c r="H28" s="20">
        <f t="shared" si="0"/>
        <v>131.69999999999999</v>
      </c>
      <c r="I28" s="20">
        <v>250</v>
      </c>
      <c r="J28" s="20">
        <f t="shared" si="2"/>
        <v>250</v>
      </c>
      <c r="K28" s="39">
        <f t="shared" si="1"/>
        <v>381.7</v>
      </c>
      <c r="L28" s="1" t="s">
        <v>346</v>
      </c>
      <c r="M28" s="1" t="s">
        <v>347</v>
      </c>
      <c r="N28" t="s">
        <v>270</v>
      </c>
    </row>
    <row r="29" spans="1:14">
      <c r="A29" s="32" t="s">
        <v>348</v>
      </c>
      <c r="B29" s="33"/>
      <c r="C29" s="33"/>
      <c r="D29" s="33"/>
      <c r="E29" s="34"/>
      <c r="F29" s="33"/>
      <c r="G29" s="33"/>
      <c r="H29" s="33"/>
      <c r="I29" s="33"/>
      <c r="J29" s="33"/>
      <c r="K29" s="40"/>
      <c r="L29" s="33"/>
      <c r="M29" s="33"/>
    </row>
    <row r="30" spans="1:14">
      <c r="A30" s="1" t="s">
        <v>315</v>
      </c>
      <c r="B30" s="1" t="s">
        <v>349</v>
      </c>
      <c r="C30" s="1">
        <v>1</v>
      </c>
      <c r="D30" s="1" t="s">
        <v>317</v>
      </c>
      <c r="E30" s="19">
        <v>10</v>
      </c>
      <c r="F30" s="19">
        <v>10</v>
      </c>
      <c r="G30" s="31">
        <f>$B$2</f>
        <v>43.9</v>
      </c>
      <c r="H30" s="20">
        <f t="shared" si="0"/>
        <v>439</v>
      </c>
      <c r="I30" s="20">
        <v>2500</v>
      </c>
      <c r="J30" s="20">
        <f t="shared" si="2"/>
        <v>2500</v>
      </c>
      <c r="K30" s="39">
        <f t="shared" si="1"/>
        <v>2939</v>
      </c>
      <c r="L30" s="1" t="s">
        <v>350</v>
      </c>
      <c r="M30" s="1" t="s">
        <v>351</v>
      </c>
      <c r="N30" t="s">
        <v>270</v>
      </c>
    </row>
    <row r="31" spans="1:14">
      <c r="A31" s="1" t="s">
        <v>315</v>
      </c>
      <c r="B31" s="1" t="s">
        <v>352</v>
      </c>
      <c r="C31" s="1">
        <v>1</v>
      </c>
      <c r="D31" s="1" t="s">
        <v>317</v>
      </c>
      <c r="E31" s="19">
        <v>16</v>
      </c>
      <c r="F31" s="19">
        <v>16</v>
      </c>
      <c r="G31" s="31">
        <f t="shared" ref="G31:G39" si="3">$B$2</f>
        <v>43.9</v>
      </c>
      <c r="H31" s="20">
        <f t="shared" si="0"/>
        <v>702.4</v>
      </c>
      <c r="I31" s="20">
        <v>4500</v>
      </c>
      <c r="J31" s="20">
        <f t="shared" si="2"/>
        <v>4500</v>
      </c>
      <c r="K31" s="39">
        <f t="shared" si="1"/>
        <v>5202.3999999999996</v>
      </c>
      <c r="L31" s="1" t="s">
        <v>353</v>
      </c>
      <c r="M31" s="1" t="s">
        <v>354</v>
      </c>
      <c r="N31" t="s">
        <v>270</v>
      </c>
    </row>
    <row r="32" spans="1:14">
      <c r="A32" s="1" t="s">
        <v>315</v>
      </c>
      <c r="B32" s="1" t="s">
        <v>355</v>
      </c>
      <c r="C32" s="1">
        <v>1</v>
      </c>
      <c r="D32" s="1" t="s">
        <v>317</v>
      </c>
      <c r="E32" s="19">
        <v>10</v>
      </c>
      <c r="F32" s="19">
        <v>10</v>
      </c>
      <c r="G32" s="31">
        <f t="shared" si="3"/>
        <v>43.9</v>
      </c>
      <c r="H32" s="20">
        <f t="shared" si="0"/>
        <v>439</v>
      </c>
      <c r="I32" s="20">
        <v>1200</v>
      </c>
      <c r="J32" s="20">
        <f t="shared" si="2"/>
        <v>1200</v>
      </c>
      <c r="K32" s="39">
        <f t="shared" si="1"/>
        <v>1639</v>
      </c>
      <c r="L32" s="1" t="s">
        <v>356</v>
      </c>
      <c r="M32" s="1" t="s">
        <v>357</v>
      </c>
      <c r="N32" t="s">
        <v>270</v>
      </c>
    </row>
    <row r="33" spans="1:14">
      <c r="A33" s="1" t="s">
        <v>315</v>
      </c>
      <c r="B33" s="1" t="s">
        <v>358</v>
      </c>
      <c r="C33" s="1">
        <v>1</v>
      </c>
      <c r="D33" s="1" t="s">
        <v>317</v>
      </c>
      <c r="E33" s="19">
        <v>10</v>
      </c>
      <c r="F33" s="19">
        <v>10</v>
      </c>
      <c r="G33" s="31">
        <f t="shared" si="3"/>
        <v>43.9</v>
      </c>
      <c r="H33" s="20">
        <f t="shared" si="0"/>
        <v>439</v>
      </c>
      <c r="I33" s="20">
        <v>1200</v>
      </c>
      <c r="J33" s="20">
        <f t="shared" si="2"/>
        <v>1200</v>
      </c>
      <c r="K33" s="39">
        <f t="shared" si="1"/>
        <v>1639</v>
      </c>
      <c r="L33" s="1" t="s">
        <v>359</v>
      </c>
      <c r="M33" s="1" t="s">
        <v>360</v>
      </c>
      <c r="N33" t="s">
        <v>270</v>
      </c>
    </row>
    <row r="34" spans="1:14">
      <c r="A34" s="1" t="s">
        <v>315</v>
      </c>
      <c r="B34" s="1" t="s">
        <v>361</v>
      </c>
      <c r="C34" s="1">
        <v>1</v>
      </c>
      <c r="D34" s="1" t="s">
        <v>317</v>
      </c>
      <c r="E34" s="19">
        <v>10</v>
      </c>
      <c r="F34" s="19">
        <v>10</v>
      </c>
      <c r="G34" s="31">
        <f t="shared" si="3"/>
        <v>43.9</v>
      </c>
      <c r="H34" s="20">
        <f t="shared" si="0"/>
        <v>439</v>
      </c>
      <c r="I34" s="20">
        <v>1200</v>
      </c>
      <c r="J34" s="20">
        <f t="shared" si="2"/>
        <v>1200</v>
      </c>
      <c r="K34" s="39">
        <f t="shared" si="1"/>
        <v>1639</v>
      </c>
      <c r="L34" s="1" t="s">
        <v>362</v>
      </c>
      <c r="M34" s="1" t="s">
        <v>363</v>
      </c>
      <c r="N34" t="s">
        <v>270</v>
      </c>
    </row>
    <row r="35" spans="1:14">
      <c r="A35" s="1" t="s">
        <v>315</v>
      </c>
      <c r="B35" s="1" t="s">
        <v>364</v>
      </c>
      <c r="C35" s="1">
        <v>1</v>
      </c>
      <c r="D35" s="1" t="s">
        <v>317</v>
      </c>
      <c r="E35" s="19">
        <v>10</v>
      </c>
      <c r="F35" s="19">
        <v>10</v>
      </c>
      <c r="G35" s="31">
        <f t="shared" si="3"/>
        <v>43.9</v>
      </c>
      <c r="H35" s="20">
        <f t="shared" si="0"/>
        <v>439</v>
      </c>
      <c r="I35" s="20">
        <v>1200</v>
      </c>
      <c r="J35" s="20">
        <f t="shared" si="2"/>
        <v>1200</v>
      </c>
      <c r="K35" s="39">
        <f t="shared" si="1"/>
        <v>1639</v>
      </c>
      <c r="L35" s="1" t="s">
        <v>365</v>
      </c>
      <c r="M35" s="1" t="s">
        <v>366</v>
      </c>
      <c r="N35" t="s">
        <v>270</v>
      </c>
    </row>
    <row r="36" spans="1:14">
      <c r="A36" s="1" t="s">
        <v>315</v>
      </c>
      <c r="B36" s="1" t="s">
        <v>367</v>
      </c>
      <c r="C36" s="1">
        <v>60</v>
      </c>
      <c r="D36" s="1" t="s">
        <v>321</v>
      </c>
      <c r="E36" s="19">
        <v>0.22</v>
      </c>
      <c r="F36" s="19">
        <v>13.2</v>
      </c>
      <c r="G36" s="31">
        <f t="shared" si="3"/>
        <v>43.9</v>
      </c>
      <c r="H36" s="20">
        <f t="shared" si="0"/>
        <v>579.4799999999999</v>
      </c>
      <c r="I36" s="20">
        <v>15</v>
      </c>
      <c r="J36" s="20">
        <f t="shared" si="2"/>
        <v>900</v>
      </c>
      <c r="K36" s="39">
        <f t="shared" si="1"/>
        <v>1479.48</v>
      </c>
      <c r="L36" s="1" t="s">
        <v>368</v>
      </c>
      <c r="M36" s="1" t="s">
        <v>369</v>
      </c>
      <c r="N36" t="s">
        <v>270</v>
      </c>
    </row>
    <row r="37" spans="1:14">
      <c r="A37" s="1" t="s">
        <v>315</v>
      </c>
      <c r="B37" s="1" t="s">
        <v>370</v>
      </c>
      <c r="C37" s="1">
        <v>120</v>
      </c>
      <c r="D37" s="1" t="s">
        <v>321</v>
      </c>
      <c r="E37" s="19">
        <v>0.2</v>
      </c>
      <c r="F37" s="19">
        <v>24</v>
      </c>
      <c r="G37" s="31">
        <f t="shared" si="3"/>
        <v>43.9</v>
      </c>
      <c r="H37" s="20">
        <f t="shared" si="0"/>
        <v>1053.5999999999999</v>
      </c>
      <c r="I37" s="20">
        <v>12</v>
      </c>
      <c r="J37" s="20">
        <f t="shared" si="2"/>
        <v>1440</v>
      </c>
      <c r="K37" s="39">
        <f t="shared" si="1"/>
        <v>2493.6</v>
      </c>
      <c r="L37" s="1" t="s">
        <v>368</v>
      </c>
      <c r="M37" s="1" t="s">
        <v>371</v>
      </c>
      <c r="N37" t="s">
        <v>270</v>
      </c>
    </row>
    <row r="38" spans="1:14">
      <c r="A38" s="1" t="s">
        <v>315</v>
      </c>
      <c r="B38" s="1" t="s">
        <v>372</v>
      </c>
      <c r="C38" s="1">
        <v>60</v>
      </c>
      <c r="D38" s="1" t="s">
        <v>321</v>
      </c>
      <c r="E38" s="19">
        <v>0.18</v>
      </c>
      <c r="F38" s="19">
        <v>10.8</v>
      </c>
      <c r="G38" s="31">
        <f t="shared" si="3"/>
        <v>43.9</v>
      </c>
      <c r="H38" s="20">
        <f t="shared" si="0"/>
        <v>474.12</v>
      </c>
      <c r="I38" s="20">
        <v>12</v>
      </c>
      <c r="J38" s="20">
        <f t="shared" si="2"/>
        <v>720</v>
      </c>
      <c r="K38" s="39">
        <f t="shared" si="1"/>
        <v>1194.1199999999999</v>
      </c>
      <c r="L38" s="1" t="s">
        <v>373</v>
      </c>
      <c r="M38" s="1" t="s">
        <v>374</v>
      </c>
      <c r="N38" t="s">
        <v>270</v>
      </c>
    </row>
    <row r="39" spans="1:14">
      <c r="A39" s="1" t="s">
        <v>315</v>
      </c>
      <c r="B39" s="1" t="s">
        <v>375</v>
      </c>
      <c r="C39" s="1">
        <v>60</v>
      </c>
      <c r="D39" s="1" t="s">
        <v>321</v>
      </c>
      <c r="E39" s="19">
        <v>0.18</v>
      </c>
      <c r="F39" s="19">
        <v>10.8</v>
      </c>
      <c r="G39" s="31">
        <f t="shared" si="3"/>
        <v>43.9</v>
      </c>
      <c r="H39" s="20">
        <f t="shared" si="0"/>
        <v>474.12</v>
      </c>
      <c r="I39" s="20">
        <v>12</v>
      </c>
      <c r="J39" s="20">
        <f t="shared" si="2"/>
        <v>720</v>
      </c>
      <c r="K39" s="39">
        <f t="shared" si="1"/>
        <v>1194.1199999999999</v>
      </c>
      <c r="L39" s="1" t="s">
        <v>373</v>
      </c>
      <c r="M39" s="1" t="s">
        <v>376</v>
      </c>
      <c r="N39" t="s">
        <v>270</v>
      </c>
    </row>
    <row r="40" spans="1:14">
      <c r="A40" s="1" t="s">
        <v>315</v>
      </c>
      <c r="B40" s="1" t="s">
        <v>377</v>
      </c>
      <c r="C40" s="1">
        <v>1</v>
      </c>
      <c r="D40" s="1" t="s">
        <v>291</v>
      </c>
      <c r="E40" s="19">
        <v>6</v>
      </c>
      <c r="F40" s="19">
        <v>6</v>
      </c>
      <c r="G40" s="31">
        <f>$B$4</f>
        <v>35.44</v>
      </c>
      <c r="H40" s="20">
        <f t="shared" si="0"/>
        <v>212.64</v>
      </c>
      <c r="I40" s="20"/>
      <c r="J40" s="20">
        <f t="shared" si="2"/>
        <v>0</v>
      </c>
      <c r="K40" s="39">
        <f t="shared" si="1"/>
        <v>212.64</v>
      </c>
      <c r="L40" s="1" t="s">
        <v>378</v>
      </c>
      <c r="M40" s="1" t="s">
        <v>379</v>
      </c>
      <c r="N40" t="s">
        <v>272</v>
      </c>
    </row>
    <row r="41" spans="1:14">
      <c r="A41" s="32" t="s">
        <v>380</v>
      </c>
      <c r="B41" s="33"/>
      <c r="C41" s="33"/>
      <c r="D41" s="33"/>
      <c r="E41" s="34"/>
      <c r="F41" s="33"/>
      <c r="G41" s="33"/>
      <c r="H41" s="33"/>
      <c r="I41" s="33"/>
      <c r="J41" s="33"/>
      <c r="K41" s="40"/>
      <c r="L41" s="33"/>
      <c r="M41" s="33"/>
    </row>
    <row r="42" spans="1:14">
      <c r="A42" s="1" t="s">
        <v>310</v>
      </c>
      <c r="B42" s="1" t="s">
        <v>381</v>
      </c>
      <c r="C42" s="1">
        <v>320</v>
      </c>
      <c r="D42" s="1" t="s">
        <v>317</v>
      </c>
      <c r="E42" s="19"/>
      <c r="F42" s="19"/>
      <c r="G42" s="20"/>
      <c r="H42" s="20"/>
      <c r="I42" s="20">
        <v>95</v>
      </c>
      <c r="J42" s="20">
        <f t="shared" si="2"/>
        <v>30400</v>
      </c>
      <c r="K42" s="39">
        <f t="shared" si="1"/>
        <v>30400</v>
      </c>
      <c r="L42" s="1" t="s">
        <v>382</v>
      </c>
      <c r="M42" s="1" t="s">
        <v>383</v>
      </c>
    </row>
    <row r="43" spans="1:14">
      <c r="A43" s="1" t="s">
        <v>289</v>
      </c>
      <c r="B43" s="1" t="s">
        <v>384</v>
      </c>
      <c r="C43" s="1">
        <v>320</v>
      </c>
      <c r="D43" s="1" t="s">
        <v>317</v>
      </c>
      <c r="E43" s="19">
        <v>0.5</v>
      </c>
      <c r="F43" s="19">
        <v>160</v>
      </c>
      <c r="G43" s="31">
        <f t="shared" ref="G43" si="4">$B$2</f>
        <v>43.9</v>
      </c>
      <c r="H43" s="20">
        <f t="shared" si="0"/>
        <v>7024</v>
      </c>
      <c r="I43" s="20"/>
      <c r="J43" s="20">
        <f t="shared" si="2"/>
        <v>0</v>
      </c>
      <c r="K43" s="39">
        <f t="shared" si="1"/>
        <v>7024</v>
      </c>
      <c r="L43" s="1" t="s">
        <v>385</v>
      </c>
      <c r="M43" s="1" t="s">
        <v>386</v>
      </c>
      <c r="N43" t="s">
        <v>270</v>
      </c>
    </row>
    <row r="44" spans="1:14">
      <c r="A44" s="1" t="s">
        <v>310</v>
      </c>
      <c r="B44" s="1" t="s">
        <v>387</v>
      </c>
      <c r="C44" s="1">
        <v>80</v>
      </c>
      <c r="D44" s="1" t="s">
        <v>317</v>
      </c>
      <c r="E44" s="19"/>
      <c r="F44" s="19"/>
      <c r="G44" s="20"/>
      <c r="H44" s="20"/>
      <c r="I44" s="20">
        <v>60</v>
      </c>
      <c r="J44" s="20">
        <f t="shared" si="2"/>
        <v>4800</v>
      </c>
      <c r="K44" s="39">
        <f t="shared" si="1"/>
        <v>4800</v>
      </c>
      <c r="L44" s="1" t="s">
        <v>382</v>
      </c>
      <c r="M44" s="1" t="s">
        <v>388</v>
      </c>
    </row>
    <row r="45" spans="1:14">
      <c r="A45" s="1" t="s">
        <v>289</v>
      </c>
      <c r="B45" s="1" t="s">
        <v>389</v>
      </c>
      <c r="C45" s="1">
        <v>80</v>
      </c>
      <c r="D45" s="1" t="s">
        <v>317</v>
      </c>
      <c r="E45" s="19">
        <v>0.6</v>
      </c>
      <c r="F45" s="19">
        <v>48</v>
      </c>
      <c r="G45" s="31">
        <f t="shared" ref="G45" si="5">$B$2</f>
        <v>43.9</v>
      </c>
      <c r="H45" s="20">
        <f t="shared" si="0"/>
        <v>2107.1999999999998</v>
      </c>
      <c r="I45" s="20"/>
      <c r="J45" s="20">
        <f t="shared" si="2"/>
        <v>0</v>
      </c>
      <c r="K45" s="39">
        <f t="shared" si="1"/>
        <v>2107.1999999999998</v>
      </c>
      <c r="L45" s="1" t="s">
        <v>390</v>
      </c>
      <c r="M45" s="1" t="s">
        <v>391</v>
      </c>
      <c r="N45" t="s">
        <v>270</v>
      </c>
    </row>
    <row r="46" spans="1:14">
      <c r="A46" s="1" t="s">
        <v>310</v>
      </c>
      <c r="B46" s="1" t="s">
        <v>392</v>
      </c>
      <c r="C46" s="1">
        <v>20</v>
      </c>
      <c r="D46" s="1" t="s">
        <v>317</v>
      </c>
      <c r="E46" s="19"/>
      <c r="F46" s="19"/>
      <c r="G46" s="20"/>
      <c r="H46" s="20"/>
      <c r="I46" s="20">
        <v>45</v>
      </c>
      <c r="J46" s="20">
        <f t="shared" si="2"/>
        <v>900</v>
      </c>
      <c r="K46" s="39">
        <f t="shared" si="1"/>
        <v>900</v>
      </c>
      <c r="L46" s="1" t="s">
        <v>393</v>
      </c>
      <c r="M46" s="1" t="s">
        <v>394</v>
      </c>
    </row>
    <row r="47" spans="1:14">
      <c r="A47" s="1" t="s">
        <v>289</v>
      </c>
      <c r="B47" s="1" t="s">
        <v>395</v>
      </c>
      <c r="C47" s="1">
        <v>20</v>
      </c>
      <c r="D47" s="1" t="s">
        <v>317</v>
      </c>
      <c r="E47" s="19">
        <v>0.5</v>
      </c>
      <c r="F47" s="19">
        <v>10</v>
      </c>
      <c r="G47" s="31">
        <f t="shared" ref="G47" si="6">$B$2</f>
        <v>43.9</v>
      </c>
      <c r="H47" s="20">
        <f t="shared" si="0"/>
        <v>439</v>
      </c>
      <c r="I47" s="20"/>
      <c r="J47" s="20">
        <f t="shared" si="2"/>
        <v>0</v>
      </c>
      <c r="K47" s="39">
        <f t="shared" si="1"/>
        <v>439</v>
      </c>
      <c r="L47" s="1" t="s">
        <v>396</v>
      </c>
      <c r="M47" s="1" t="s">
        <v>397</v>
      </c>
      <c r="N47" t="s">
        <v>270</v>
      </c>
    </row>
    <row r="48" spans="1:14">
      <c r="A48" s="1" t="s">
        <v>310</v>
      </c>
      <c r="B48" s="1" t="s">
        <v>398</v>
      </c>
      <c r="C48" s="1">
        <v>2</v>
      </c>
      <c r="D48" s="1" t="s">
        <v>317</v>
      </c>
      <c r="E48" s="19"/>
      <c r="F48" s="19"/>
      <c r="G48" s="20"/>
      <c r="H48" s="20"/>
      <c r="I48" s="20">
        <v>5000</v>
      </c>
      <c r="J48" s="20">
        <f t="shared" si="2"/>
        <v>10000</v>
      </c>
      <c r="K48" s="39">
        <f t="shared" si="1"/>
        <v>10000</v>
      </c>
      <c r="L48" s="1" t="s">
        <v>399</v>
      </c>
      <c r="M48" s="1" t="s">
        <v>400</v>
      </c>
    </row>
    <row r="49" spans="1:14">
      <c r="A49" s="1" t="s">
        <v>289</v>
      </c>
      <c r="B49" s="1" t="s">
        <v>401</v>
      </c>
      <c r="C49" s="1">
        <v>2</v>
      </c>
      <c r="D49" s="1" t="s">
        <v>317</v>
      </c>
      <c r="E49" s="19">
        <v>8</v>
      </c>
      <c r="F49" s="19">
        <v>16</v>
      </c>
      <c r="G49" s="31">
        <f t="shared" ref="G49:G50" si="7">$B$2</f>
        <v>43.9</v>
      </c>
      <c r="H49" s="20">
        <f t="shared" si="0"/>
        <v>702.4</v>
      </c>
      <c r="I49" s="20"/>
      <c r="J49" s="20">
        <f t="shared" si="2"/>
        <v>0</v>
      </c>
      <c r="K49" s="39">
        <f t="shared" si="1"/>
        <v>702.4</v>
      </c>
      <c r="L49" s="1" t="s">
        <v>402</v>
      </c>
      <c r="M49" s="1" t="s">
        <v>403</v>
      </c>
      <c r="N49" t="s">
        <v>270</v>
      </c>
    </row>
    <row r="50" spans="1:14">
      <c r="A50" s="1" t="s">
        <v>315</v>
      </c>
      <c r="B50" s="1" t="s">
        <v>404</v>
      </c>
      <c r="C50" s="1">
        <v>4900</v>
      </c>
      <c r="D50" s="1" t="s">
        <v>321</v>
      </c>
      <c r="E50" s="19">
        <v>0.02</v>
      </c>
      <c r="F50" s="19">
        <v>98</v>
      </c>
      <c r="G50" s="31">
        <f t="shared" si="7"/>
        <v>43.9</v>
      </c>
      <c r="H50" s="20">
        <f t="shared" si="0"/>
        <v>4302.2</v>
      </c>
      <c r="I50" s="20">
        <v>1.5</v>
      </c>
      <c r="J50" s="20">
        <f t="shared" si="2"/>
        <v>7350</v>
      </c>
      <c r="K50" s="39">
        <f t="shared" si="1"/>
        <v>11652.2</v>
      </c>
      <c r="L50" s="1" t="s">
        <v>405</v>
      </c>
      <c r="M50" s="1" t="s">
        <v>406</v>
      </c>
      <c r="N50" t="s">
        <v>270</v>
      </c>
    </row>
    <row r="51" spans="1:14">
      <c r="A51" s="1" t="s">
        <v>310</v>
      </c>
      <c r="B51" s="1" t="s">
        <v>407</v>
      </c>
      <c r="C51" s="1">
        <v>80</v>
      </c>
      <c r="D51" s="1" t="s">
        <v>317</v>
      </c>
      <c r="E51" s="19"/>
      <c r="F51" s="19"/>
      <c r="G51" s="20"/>
      <c r="H51" s="20"/>
      <c r="I51" s="20">
        <v>40</v>
      </c>
      <c r="J51" s="20">
        <f t="shared" si="2"/>
        <v>3200</v>
      </c>
      <c r="K51" s="39">
        <f t="shared" si="1"/>
        <v>3200</v>
      </c>
      <c r="L51" s="1" t="s">
        <v>408</v>
      </c>
      <c r="M51" s="1" t="s">
        <v>409</v>
      </c>
    </row>
    <row r="52" spans="1:14">
      <c r="A52" s="1" t="s">
        <v>289</v>
      </c>
      <c r="B52" s="1" t="s">
        <v>410</v>
      </c>
      <c r="C52" s="1">
        <v>80</v>
      </c>
      <c r="D52" s="1" t="s">
        <v>317</v>
      </c>
      <c r="E52" s="19">
        <v>0.45</v>
      </c>
      <c r="F52" s="19">
        <v>36</v>
      </c>
      <c r="G52" s="31">
        <f t="shared" ref="G52" si="8">$B$2</f>
        <v>43.9</v>
      </c>
      <c r="H52" s="20">
        <f t="shared" si="0"/>
        <v>1580.3999999999999</v>
      </c>
      <c r="I52" s="20"/>
      <c r="J52" s="20">
        <f t="shared" si="2"/>
        <v>0</v>
      </c>
      <c r="K52" s="39">
        <f t="shared" si="1"/>
        <v>1580.3999999999999</v>
      </c>
      <c r="L52" s="1" t="s">
        <v>411</v>
      </c>
      <c r="M52" s="1" t="s">
        <v>412</v>
      </c>
      <c r="N52" t="s">
        <v>270</v>
      </c>
    </row>
    <row r="53" spans="1:14">
      <c r="A53" s="1" t="s">
        <v>310</v>
      </c>
      <c r="B53" s="1" t="s">
        <v>413</v>
      </c>
      <c r="C53" s="1">
        <v>1</v>
      </c>
      <c r="D53" s="1" t="s">
        <v>291</v>
      </c>
      <c r="E53" s="19"/>
      <c r="F53" s="19"/>
      <c r="G53" s="20"/>
      <c r="H53" s="20"/>
      <c r="I53" s="20">
        <v>8000</v>
      </c>
      <c r="J53" s="20">
        <f t="shared" si="2"/>
        <v>8000</v>
      </c>
      <c r="K53" s="39">
        <f t="shared" si="1"/>
        <v>8000</v>
      </c>
      <c r="L53" s="1" t="s">
        <v>414</v>
      </c>
      <c r="M53" s="1" t="s">
        <v>415</v>
      </c>
    </row>
    <row r="54" spans="1:14">
      <c r="A54" s="1" t="s">
        <v>289</v>
      </c>
      <c r="B54" s="1" t="s">
        <v>416</v>
      </c>
      <c r="C54" s="1">
        <v>1</v>
      </c>
      <c r="D54" s="1" t="s">
        <v>291</v>
      </c>
      <c r="E54" s="19">
        <v>24</v>
      </c>
      <c r="F54" s="19">
        <v>24</v>
      </c>
      <c r="G54" s="31">
        <f>$B$6</f>
        <v>28.51</v>
      </c>
      <c r="H54" s="20">
        <f t="shared" si="0"/>
        <v>684.24</v>
      </c>
      <c r="I54" s="20"/>
      <c r="J54" s="20"/>
      <c r="K54" s="39">
        <f t="shared" si="1"/>
        <v>684.24</v>
      </c>
      <c r="L54" s="1" t="s">
        <v>417</v>
      </c>
      <c r="M54" s="1" t="s">
        <v>418</v>
      </c>
      <c r="N54" t="s">
        <v>274</v>
      </c>
    </row>
    <row r="55" spans="1:14">
      <c r="A55" s="32" t="s">
        <v>419</v>
      </c>
      <c r="B55" s="33"/>
      <c r="C55" s="33"/>
      <c r="D55" s="33"/>
      <c r="E55" s="34"/>
      <c r="F55" s="33"/>
      <c r="G55" s="33"/>
      <c r="H55" s="33"/>
      <c r="I55" s="33"/>
      <c r="J55" s="33"/>
      <c r="K55" s="40"/>
      <c r="L55" s="33"/>
      <c r="M55" s="33"/>
    </row>
    <row r="56" spans="1:14">
      <c r="A56" s="1" t="s">
        <v>310</v>
      </c>
      <c r="B56" s="1" t="s">
        <v>420</v>
      </c>
      <c r="C56" s="1">
        <v>100</v>
      </c>
      <c r="D56" s="1" t="s">
        <v>317</v>
      </c>
      <c r="E56" s="19"/>
      <c r="F56" s="19"/>
      <c r="G56" s="20"/>
      <c r="H56" s="20"/>
      <c r="I56" s="20">
        <v>120</v>
      </c>
      <c r="J56" s="20">
        <f t="shared" si="2"/>
        <v>12000</v>
      </c>
      <c r="K56" s="39">
        <f t="shared" si="1"/>
        <v>12000</v>
      </c>
      <c r="L56" s="1" t="s">
        <v>421</v>
      </c>
      <c r="M56" s="1" t="s">
        <v>422</v>
      </c>
    </row>
    <row r="57" spans="1:14">
      <c r="A57" s="1" t="s">
        <v>289</v>
      </c>
      <c r="B57" s="1" t="s">
        <v>423</v>
      </c>
      <c r="C57" s="1">
        <v>100</v>
      </c>
      <c r="D57" s="1" t="s">
        <v>317</v>
      </c>
      <c r="E57" s="19">
        <v>1.1000000000000001</v>
      </c>
      <c r="F57" s="19">
        <v>110</v>
      </c>
      <c r="G57" s="31">
        <f t="shared" ref="G57:G58" si="9">$B$2</f>
        <v>43.9</v>
      </c>
      <c r="H57" s="20">
        <f t="shared" si="0"/>
        <v>4829</v>
      </c>
      <c r="I57" s="20"/>
      <c r="J57" s="20"/>
      <c r="K57" s="39">
        <f t="shared" si="1"/>
        <v>4829</v>
      </c>
      <c r="L57" s="1" t="s">
        <v>424</v>
      </c>
      <c r="M57" s="1" t="s">
        <v>425</v>
      </c>
      <c r="N57" t="s">
        <v>270</v>
      </c>
    </row>
    <row r="58" spans="1:14">
      <c r="A58" s="1" t="s">
        <v>289</v>
      </c>
      <c r="B58" s="1" t="s">
        <v>426</v>
      </c>
      <c r="C58" s="1">
        <v>100</v>
      </c>
      <c r="D58" s="1" t="s">
        <v>317</v>
      </c>
      <c r="E58" s="19">
        <v>0.55000000000000004</v>
      </c>
      <c r="F58" s="19">
        <v>55.000000000000007</v>
      </c>
      <c r="G58" s="31">
        <f t="shared" si="9"/>
        <v>43.9</v>
      </c>
      <c r="H58" s="20">
        <f t="shared" si="0"/>
        <v>2414.5000000000005</v>
      </c>
      <c r="I58" s="20"/>
      <c r="J58" s="20"/>
      <c r="K58" s="39">
        <f t="shared" si="1"/>
        <v>2414.5000000000005</v>
      </c>
      <c r="L58" s="1" t="s">
        <v>427</v>
      </c>
      <c r="M58" s="1" t="s">
        <v>428</v>
      </c>
      <c r="N58" t="s">
        <v>270</v>
      </c>
    </row>
    <row r="59" spans="1:14">
      <c r="A59" s="1" t="s">
        <v>310</v>
      </c>
      <c r="B59" s="1" t="s">
        <v>429</v>
      </c>
      <c r="C59" s="1">
        <v>200</v>
      </c>
      <c r="D59" s="1" t="s">
        <v>317</v>
      </c>
      <c r="E59" s="19"/>
      <c r="F59" s="19"/>
      <c r="G59" s="20"/>
      <c r="H59" s="20"/>
      <c r="I59" s="20">
        <v>5</v>
      </c>
      <c r="J59" s="20">
        <f t="shared" si="2"/>
        <v>1000</v>
      </c>
      <c r="K59" s="39">
        <f t="shared" si="1"/>
        <v>1000</v>
      </c>
      <c r="L59" s="1" t="s">
        <v>430</v>
      </c>
      <c r="M59" s="1" t="s">
        <v>431</v>
      </c>
    </row>
    <row r="60" spans="1:14">
      <c r="A60" s="1" t="s">
        <v>289</v>
      </c>
      <c r="B60" s="1" t="s">
        <v>432</v>
      </c>
      <c r="C60" s="1">
        <v>200</v>
      </c>
      <c r="D60" s="1" t="s">
        <v>317</v>
      </c>
      <c r="E60" s="19">
        <v>0.35</v>
      </c>
      <c r="F60" s="19">
        <v>70</v>
      </c>
      <c r="G60" s="31">
        <f t="shared" ref="G60" si="10">$B$2</f>
        <v>43.9</v>
      </c>
      <c r="H60" s="20">
        <f t="shared" si="0"/>
        <v>3073</v>
      </c>
      <c r="I60" s="20"/>
      <c r="J60" s="20"/>
      <c r="K60" s="39">
        <f t="shared" si="1"/>
        <v>3073</v>
      </c>
      <c r="L60" s="1" t="s">
        <v>433</v>
      </c>
      <c r="M60" s="1" t="s">
        <v>434</v>
      </c>
      <c r="N60" t="s">
        <v>270</v>
      </c>
    </row>
    <row r="61" spans="1:14">
      <c r="A61" s="1" t="s">
        <v>310</v>
      </c>
      <c r="B61" s="1" t="s">
        <v>435</v>
      </c>
      <c r="C61" s="1">
        <v>150</v>
      </c>
      <c r="D61" s="1" t="s">
        <v>317</v>
      </c>
      <c r="E61" s="19"/>
      <c r="F61" s="19"/>
      <c r="G61" s="20"/>
      <c r="H61" s="20"/>
      <c r="I61" s="20">
        <v>4</v>
      </c>
      <c r="J61" s="20">
        <f t="shared" si="2"/>
        <v>600</v>
      </c>
      <c r="K61" s="39">
        <f t="shared" si="1"/>
        <v>600</v>
      </c>
      <c r="L61" s="1" t="s">
        <v>430</v>
      </c>
      <c r="M61" s="1" t="s">
        <v>436</v>
      </c>
    </row>
    <row r="62" spans="1:14">
      <c r="A62" s="1" t="s">
        <v>289</v>
      </c>
      <c r="B62" s="1" t="s">
        <v>437</v>
      </c>
      <c r="C62" s="1">
        <v>150</v>
      </c>
      <c r="D62" s="1" t="s">
        <v>317</v>
      </c>
      <c r="E62" s="19">
        <v>0.35</v>
      </c>
      <c r="F62" s="19">
        <v>52.5</v>
      </c>
      <c r="G62" s="31">
        <f t="shared" ref="G62:G66" si="11">$B$2</f>
        <v>43.9</v>
      </c>
      <c r="H62" s="20">
        <f t="shared" si="0"/>
        <v>2304.75</v>
      </c>
      <c r="I62" s="20"/>
      <c r="J62" s="20"/>
      <c r="K62" s="39">
        <f t="shared" si="1"/>
        <v>2304.75</v>
      </c>
      <c r="L62" s="1" t="s">
        <v>433</v>
      </c>
      <c r="M62" s="1" t="s">
        <v>438</v>
      </c>
      <c r="N62" t="s">
        <v>270</v>
      </c>
    </row>
    <row r="63" spans="1:14" ht="28.5">
      <c r="A63" s="1" t="s">
        <v>315</v>
      </c>
      <c r="B63" s="1" t="s">
        <v>439</v>
      </c>
      <c r="C63" s="1">
        <v>8040</v>
      </c>
      <c r="D63" s="1" t="s">
        <v>321</v>
      </c>
      <c r="E63" s="19">
        <v>8.5000000000000006E-2</v>
      </c>
      <c r="F63" s="19">
        <v>683.40000000000009</v>
      </c>
      <c r="G63" s="31">
        <f t="shared" si="11"/>
        <v>43.9</v>
      </c>
      <c r="H63" s="20">
        <f t="shared" si="0"/>
        <v>30001.260000000002</v>
      </c>
      <c r="I63" s="20">
        <v>0.9</v>
      </c>
      <c r="J63" s="20">
        <f t="shared" si="2"/>
        <v>7236</v>
      </c>
      <c r="K63" s="39">
        <f t="shared" si="1"/>
        <v>37237.26</v>
      </c>
      <c r="L63" s="1" t="s">
        <v>440</v>
      </c>
      <c r="M63" s="1" t="s">
        <v>441</v>
      </c>
      <c r="N63" t="s">
        <v>270</v>
      </c>
    </row>
    <row r="64" spans="1:14">
      <c r="A64" s="1" t="s">
        <v>315</v>
      </c>
      <c r="B64" s="1" t="s">
        <v>442</v>
      </c>
      <c r="C64" s="1">
        <v>24120</v>
      </c>
      <c r="D64" s="1" t="s">
        <v>321</v>
      </c>
      <c r="E64" s="19">
        <v>0.03</v>
      </c>
      <c r="F64" s="19">
        <v>723.6</v>
      </c>
      <c r="G64" s="31">
        <f t="shared" si="11"/>
        <v>43.9</v>
      </c>
      <c r="H64" s="20">
        <f t="shared" si="0"/>
        <v>31766.04</v>
      </c>
      <c r="I64" s="20">
        <v>0.25</v>
      </c>
      <c r="J64" s="20">
        <f t="shared" si="2"/>
        <v>6030</v>
      </c>
      <c r="K64" s="39">
        <f t="shared" si="1"/>
        <v>37796.04</v>
      </c>
      <c r="L64" s="1" t="s">
        <v>440</v>
      </c>
      <c r="M64" s="1" t="s">
        <v>443</v>
      </c>
      <c r="N64" t="s">
        <v>270</v>
      </c>
    </row>
    <row r="65" spans="1:14">
      <c r="A65" s="1" t="s">
        <v>315</v>
      </c>
      <c r="B65" s="1" t="s">
        <v>444</v>
      </c>
      <c r="C65" s="1">
        <v>161</v>
      </c>
      <c r="D65" s="1" t="s">
        <v>317</v>
      </c>
      <c r="E65" s="19">
        <v>0.15</v>
      </c>
      <c r="F65" s="19">
        <v>24.15</v>
      </c>
      <c r="G65" s="31">
        <f t="shared" si="11"/>
        <v>43.9</v>
      </c>
      <c r="H65" s="20">
        <f t="shared" si="0"/>
        <v>1060.1849999999999</v>
      </c>
      <c r="I65" s="20">
        <v>12</v>
      </c>
      <c r="J65" s="20">
        <f t="shared" si="2"/>
        <v>1932</v>
      </c>
      <c r="K65" s="39">
        <f t="shared" si="1"/>
        <v>2992.1849999999999</v>
      </c>
      <c r="L65" s="1" t="s">
        <v>445</v>
      </c>
      <c r="M65" s="1" t="s">
        <v>446</v>
      </c>
      <c r="N65" t="s">
        <v>270</v>
      </c>
    </row>
    <row r="66" spans="1:14">
      <c r="A66" s="1" t="s">
        <v>315</v>
      </c>
      <c r="B66" s="1" t="s">
        <v>447</v>
      </c>
      <c r="C66" s="1">
        <v>10</v>
      </c>
      <c r="D66" s="1" t="s">
        <v>317</v>
      </c>
      <c r="E66" s="19">
        <v>0.15</v>
      </c>
      <c r="F66" s="19">
        <v>1.5</v>
      </c>
      <c r="G66" s="31">
        <f t="shared" si="11"/>
        <v>43.9</v>
      </c>
      <c r="H66" s="20">
        <f t="shared" si="0"/>
        <v>65.849999999999994</v>
      </c>
      <c r="I66" s="20">
        <v>30</v>
      </c>
      <c r="J66" s="20">
        <f t="shared" si="2"/>
        <v>300</v>
      </c>
      <c r="K66" s="39">
        <f t="shared" si="1"/>
        <v>365.85</v>
      </c>
      <c r="L66" s="1" t="s">
        <v>448</v>
      </c>
      <c r="M66" s="1" t="s">
        <v>449</v>
      </c>
      <c r="N66" t="s">
        <v>270</v>
      </c>
    </row>
    <row r="67" spans="1:14">
      <c r="A67" s="32" t="s">
        <v>450</v>
      </c>
      <c r="B67" s="33"/>
      <c r="C67" s="33"/>
      <c r="D67" s="33"/>
      <c r="E67" s="34"/>
      <c r="F67" s="33"/>
      <c r="G67" s="33"/>
      <c r="H67" s="33"/>
      <c r="I67" s="33"/>
      <c r="J67" s="33"/>
      <c r="K67" s="40"/>
      <c r="L67" s="33"/>
      <c r="M67" s="33"/>
    </row>
    <row r="68" spans="1:14">
      <c r="A68" s="1" t="s">
        <v>315</v>
      </c>
      <c r="B68" s="1" t="s">
        <v>451</v>
      </c>
      <c r="C68" s="1">
        <v>3</v>
      </c>
      <c r="D68" s="1" t="s">
        <v>317</v>
      </c>
      <c r="E68" s="19">
        <v>0.75</v>
      </c>
      <c r="F68" s="19">
        <v>2.25</v>
      </c>
      <c r="G68" s="20">
        <f>$B$2</f>
        <v>43.9</v>
      </c>
      <c r="H68" s="20">
        <f t="shared" si="0"/>
        <v>98.774999999999991</v>
      </c>
      <c r="I68" s="20">
        <v>120</v>
      </c>
      <c r="J68" s="20">
        <f t="shared" si="2"/>
        <v>360</v>
      </c>
      <c r="K68" s="39">
        <f t="shared" si="1"/>
        <v>458.77499999999998</v>
      </c>
      <c r="L68" s="1" t="s">
        <v>452</v>
      </c>
      <c r="M68" s="1" t="s">
        <v>453</v>
      </c>
      <c r="N68" t="s">
        <v>270</v>
      </c>
    </row>
    <row r="69" spans="1:14">
      <c r="A69" s="1" t="s">
        <v>315</v>
      </c>
      <c r="B69" s="1" t="s">
        <v>454</v>
      </c>
      <c r="C69" s="1">
        <v>7</v>
      </c>
      <c r="D69" s="1" t="s">
        <v>317</v>
      </c>
      <c r="E69" s="19">
        <v>0.75</v>
      </c>
      <c r="F69" s="19">
        <v>5.25</v>
      </c>
      <c r="G69" s="20">
        <f>$B$2</f>
        <v>43.9</v>
      </c>
      <c r="H69" s="20">
        <f t="shared" si="0"/>
        <v>230.47499999999999</v>
      </c>
      <c r="I69" s="20">
        <v>120</v>
      </c>
      <c r="J69" s="20">
        <f t="shared" si="2"/>
        <v>840</v>
      </c>
      <c r="K69" s="39">
        <f t="shared" si="1"/>
        <v>1070.4749999999999</v>
      </c>
      <c r="L69" s="1" t="s">
        <v>455</v>
      </c>
      <c r="M69" s="1" t="s">
        <v>456</v>
      </c>
      <c r="N69" t="s">
        <v>270</v>
      </c>
    </row>
    <row r="70" spans="1:14">
      <c r="A70" s="1" t="s">
        <v>315</v>
      </c>
      <c r="B70" s="1" t="s">
        <v>457</v>
      </c>
      <c r="C70" s="1">
        <v>1800</v>
      </c>
      <c r="D70" s="1" t="s">
        <v>321</v>
      </c>
      <c r="E70" s="19">
        <v>0.05</v>
      </c>
      <c r="F70" s="19">
        <v>90</v>
      </c>
      <c r="G70" s="20">
        <f>$B$2</f>
        <v>43.9</v>
      </c>
      <c r="H70" s="20">
        <f t="shared" si="0"/>
        <v>3951</v>
      </c>
      <c r="I70" s="20">
        <v>0.9</v>
      </c>
      <c r="J70" s="20">
        <f t="shared" si="2"/>
        <v>1620</v>
      </c>
      <c r="K70" s="39">
        <f t="shared" si="1"/>
        <v>5571</v>
      </c>
      <c r="L70" s="1" t="s">
        <v>458</v>
      </c>
      <c r="M70" s="1" t="s">
        <v>459</v>
      </c>
      <c r="N70" t="s">
        <v>270</v>
      </c>
    </row>
    <row r="71" spans="1:14">
      <c r="A71" s="32" t="s">
        <v>460</v>
      </c>
      <c r="B71" s="33"/>
      <c r="C71" s="33"/>
      <c r="D71" s="33"/>
      <c r="E71" s="34"/>
      <c r="F71" s="33"/>
      <c r="G71" s="33"/>
      <c r="H71" s="33"/>
      <c r="I71" s="33"/>
      <c r="J71" s="33"/>
      <c r="K71" s="40"/>
      <c r="L71" s="33"/>
      <c r="M71" s="33"/>
    </row>
    <row r="72" spans="1:14">
      <c r="A72" s="1" t="s">
        <v>289</v>
      </c>
      <c r="B72" s="1" t="s">
        <v>461</v>
      </c>
      <c r="C72" s="1">
        <v>1</v>
      </c>
      <c r="D72" s="1" t="s">
        <v>291</v>
      </c>
      <c r="E72" s="19">
        <v>12</v>
      </c>
      <c r="F72" s="19">
        <v>12</v>
      </c>
      <c r="G72" s="31">
        <f t="shared" ref="G72:G73" si="12">$B$2</f>
        <v>43.9</v>
      </c>
      <c r="H72" s="20">
        <f t="shared" si="0"/>
        <v>526.79999999999995</v>
      </c>
      <c r="I72" s="20"/>
      <c r="J72" s="20"/>
      <c r="K72" s="39">
        <f t="shared" si="1"/>
        <v>526.79999999999995</v>
      </c>
      <c r="L72" s="1" t="s">
        <v>462</v>
      </c>
      <c r="M72" s="1" t="s">
        <v>463</v>
      </c>
      <c r="N72" t="s">
        <v>270</v>
      </c>
    </row>
    <row r="73" spans="1:14">
      <c r="A73" s="1" t="s">
        <v>289</v>
      </c>
      <c r="B73" s="1" t="s">
        <v>464</v>
      </c>
      <c r="C73" s="1">
        <v>1</v>
      </c>
      <c r="D73" s="1" t="s">
        <v>291</v>
      </c>
      <c r="E73" s="19">
        <v>8</v>
      </c>
      <c r="F73" s="19">
        <v>8</v>
      </c>
      <c r="G73" s="31">
        <f t="shared" si="12"/>
        <v>43.9</v>
      </c>
      <c r="H73" s="20">
        <f t="shared" si="0"/>
        <v>351.2</v>
      </c>
      <c r="I73" s="20"/>
      <c r="J73" s="20"/>
      <c r="K73" s="39">
        <f t="shared" si="1"/>
        <v>351.2</v>
      </c>
      <c r="L73" s="1" t="s">
        <v>465</v>
      </c>
      <c r="M73" s="1" t="s">
        <v>466</v>
      </c>
      <c r="N73" t="s">
        <v>270</v>
      </c>
    </row>
    <row r="74" spans="1:14">
      <c r="A74" s="1" t="s">
        <v>289</v>
      </c>
      <c r="B74" s="1" t="s">
        <v>467</v>
      </c>
      <c r="C74" s="1">
        <v>1</v>
      </c>
      <c r="D74" s="1" t="s">
        <v>291</v>
      </c>
      <c r="E74" s="19">
        <v>10</v>
      </c>
      <c r="F74" s="19">
        <v>10</v>
      </c>
      <c r="G74" s="31">
        <f>$B$6</f>
        <v>28.51</v>
      </c>
      <c r="H74" s="20">
        <f t="shared" si="0"/>
        <v>285.10000000000002</v>
      </c>
      <c r="I74" s="20"/>
      <c r="J74" s="20"/>
      <c r="K74" s="39">
        <f t="shared" si="1"/>
        <v>285.10000000000002</v>
      </c>
      <c r="L74" s="1" t="s">
        <v>468</v>
      </c>
      <c r="M74" s="1" t="s">
        <v>469</v>
      </c>
      <c r="N74" t="s">
        <v>274</v>
      </c>
    </row>
    <row r="75" spans="1:14">
      <c r="A75" s="1" t="s">
        <v>289</v>
      </c>
      <c r="B75" s="1" t="s">
        <v>470</v>
      </c>
      <c r="C75" s="1">
        <v>1</v>
      </c>
      <c r="D75" s="1" t="s">
        <v>291</v>
      </c>
      <c r="E75" s="19">
        <v>18</v>
      </c>
      <c r="F75" s="19">
        <v>18</v>
      </c>
      <c r="G75" s="31">
        <f>$B$3</f>
        <v>51.43</v>
      </c>
      <c r="H75" s="20">
        <f t="shared" ref="H75:H77" si="13">F75*G75</f>
        <v>925.74</v>
      </c>
      <c r="I75" s="20"/>
      <c r="J75" s="20"/>
      <c r="K75" s="39">
        <f t="shared" ref="K75:K77" si="14">SUM(H75+J75)</f>
        <v>925.74</v>
      </c>
      <c r="L75" s="1" t="s">
        <v>471</v>
      </c>
      <c r="M75" s="1" t="s">
        <v>472</v>
      </c>
      <c r="N75" t="s">
        <v>271</v>
      </c>
    </row>
    <row r="76" spans="1:14">
      <c r="A76" s="1" t="s">
        <v>289</v>
      </c>
      <c r="B76" s="1" t="s">
        <v>473</v>
      </c>
      <c r="C76" s="1">
        <v>1</v>
      </c>
      <c r="D76" s="1" t="s">
        <v>291</v>
      </c>
      <c r="E76" s="19">
        <v>6</v>
      </c>
      <c r="F76" s="19">
        <v>6</v>
      </c>
      <c r="G76" s="31">
        <f>$B$3</f>
        <v>51.43</v>
      </c>
      <c r="H76" s="20">
        <f t="shared" si="13"/>
        <v>308.58</v>
      </c>
      <c r="I76" s="20"/>
      <c r="J76" s="20"/>
      <c r="K76" s="39">
        <f t="shared" si="14"/>
        <v>308.58</v>
      </c>
      <c r="L76" s="1" t="s">
        <v>474</v>
      </c>
      <c r="M76" s="1" t="s">
        <v>475</v>
      </c>
      <c r="N76" t="s">
        <v>271</v>
      </c>
    </row>
    <row r="77" spans="1:14">
      <c r="A77" s="1" t="s">
        <v>289</v>
      </c>
      <c r="B77" s="1" t="s">
        <v>476</v>
      </c>
      <c r="C77" s="1">
        <v>1</v>
      </c>
      <c r="D77" s="1" t="s">
        <v>291</v>
      </c>
      <c r="E77" s="19">
        <v>16</v>
      </c>
      <c r="F77" s="19">
        <v>16</v>
      </c>
      <c r="G77" s="31">
        <f>$B$3</f>
        <v>51.43</v>
      </c>
      <c r="H77" s="20">
        <f t="shared" si="13"/>
        <v>822.88</v>
      </c>
      <c r="I77" s="20"/>
      <c r="J77" s="20"/>
      <c r="K77" s="39">
        <f t="shared" si="14"/>
        <v>822.88</v>
      </c>
      <c r="L77" s="1" t="s">
        <v>373</v>
      </c>
      <c r="M77" s="1" t="s">
        <v>477</v>
      </c>
      <c r="N77" t="s">
        <v>271</v>
      </c>
    </row>
    <row r="78" spans="1:14">
      <c r="A78" s="14" t="s">
        <v>478</v>
      </c>
      <c r="B78" s="1"/>
      <c r="C78" s="1"/>
      <c r="D78" s="1"/>
      <c r="E78" s="1"/>
      <c r="F78" s="35"/>
      <c r="G78" s="1"/>
      <c r="H78" s="36">
        <f>SUM(H10:H77)</f>
        <v>111677.46700000003</v>
      </c>
      <c r="I78" s="20"/>
      <c r="J78" s="36">
        <f>SUM(J10:J77)</f>
        <v>123312</v>
      </c>
      <c r="K78" s="36">
        <f>SUM(K10:K77)</f>
        <v>234989.467</v>
      </c>
      <c r="L78" s="1"/>
      <c r="M78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9B9-E9C4-4CE5-B891-2A5A58ABB6CE}">
  <dimension ref="A1:O57"/>
  <sheetViews>
    <sheetView topLeftCell="B33" workbookViewId="0">
      <selection activeCell="J9" sqref="J9:K13"/>
    </sheetView>
  </sheetViews>
  <sheetFormatPr defaultRowHeight="14.25"/>
  <cols>
    <col min="1" max="1" width="30.140625" customWidth="1"/>
    <col min="2" max="2" width="58" customWidth="1"/>
    <col min="3" max="3" width="10" customWidth="1"/>
    <col min="4" max="4" width="8" customWidth="1"/>
    <col min="5" max="5" width="18" customWidth="1"/>
    <col min="6" max="6" width="12" customWidth="1"/>
    <col min="7" max="8" width="14" customWidth="1"/>
    <col min="9" max="9" width="16" customWidth="1"/>
    <col min="10" max="10" width="18" customWidth="1"/>
    <col min="11" max="11" width="14" customWidth="1"/>
    <col min="12" max="12" width="13.28515625" customWidth="1"/>
    <col min="13" max="13" width="40" customWidth="1"/>
    <col min="14" max="14" width="28" customWidth="1"/>
    <col min="15" max="15" width="32" customWidth="1"/>
  </cols>
  <sheetData>
    <row r="1" spans="1:15">
      <c r="A1" s="25" t="s">
        <v>267</v>
      </c>
      <c r="B1" s="25" t="s">
        <v>268</v>
      </c>
    </row>
    <row r="2" spans="1:15">
      <c r="A2" t="s">
        <v>271</v>
      </c>
      <c r="B2" s="26">
        <v>51.43</v>
      </c>
      <c r="C2" s="31">
        <f>$B$2</f>
        <v>51.43</v>
      </c>
    </row>
    <row r="3" spans="1:15">
      <c r="A3" t="s">
        <v>479</v>
      </c>
      <c r="B3" s="26">
        <v>30.77</v>
      </c>
      <c r="C3" s="31">
        <f>$B$3</f>
        <v>30.77</v>
      </c>
    </row>
    <row r="4" spans="1:15">
      <c r="A4" t="s">
        <v>480</v>
      </c>
      <c r="B4" s="26">
        <v>33.9</v>
      </c>
      <c r="C4" s="31">
        <f>$B$4</f>
        <v>33.9</v>
      </c>
    </row>
    <row r="5" spans="1:15">
      <c r="A5" t="s">
        <v>481</v>
      </c>
      <c r="B5" s="26">
        <v>46.54</v>
      </c>
      <c r="C5" s="31">
        <f>$B$5</f>
        <v>46.54</v>
      </c>
    </row>
    <row r="6" spans="1:15">
      <c r="C6" s="31"/>
    </row>
    <row r="7" spans="1:15" ht="28.5" customHeight="1">
      <c r="A7" s="37" t="s">
        <v>275</v>
      </c>
      <c r="B7" s="37" t="s">
        <v>276</v>
      </c>
      <c r="C7" s="37" t="s">
        <v>277</v>
      </c>
      <c r="D7" s="37" t="s">
        <v>278</v>
      </c>
      <c r="E7" s="37" t="s">
        <v>279</v>
      </c>
      <c r="F7" s="37" t="s">
        <v>18</v>
      </c>
      <c r="G7" s="37" t="s">
        <v>280</v>
      </c>
      <c r="H7" s="37" t="s">
        <v>281</v>
      </c>
      <c r="I7" s="37" t="s">
        <v>482</v>
      </c>
      <c r="J7" s="37" t="s">
        <v>282</v>
      </c>
      <c r="K7" s="37" t="s">
        <v>283</v>
      </c>
      <c r="L7" s="37" t="s">
        <v>284</v>
      </c>
      <c r="M7" s="16" t="s">
        <v>285</v>
      </c>
      <c r="N7" s="16" t="s">
        <v>286</v>
      </c>
      <c r="O7" s="18" t="s">
        <v>267</v>
      </c>
    </row>
    <row r="8" spans="1:15">
      <c r="A8" s="42" t="s">
        <v>288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>
      <c r="A9" s="28" t="s">
        <v>289</v>
      </c>
      <c r="B9" s="1" t="s">
        <v>290</v>
      </c>
      <c r="C9" s="1">
        <v>1</v>
      </c>
      <c r="D9" s="1" t="s">
        <v>291</v>
      </c>
      <c r="E9" s="1">
        <v>4</v>
      </c>
      <c r="F9" s="19">
        <v>4</v>
      </c>
      <c r="G9" s="31">
        <f>$B$2</f>
        <v>51.43</v>
      </c>
      <c r="H9" s="20">
        <f>F9*G9</f>
        <v>205.72</v>
      </c>
      <c r="I9" s="1"/>
      <c r="J9" s="20"/>
      <c r="K9" s="20"/>
      <c r="L9" s="20">
        <f>SUM(H9+K9)</f>
        <v>205.72</v>
      </c>
      <c r="M9" s="1" t="s">
        <v>483</v>
      </c>
      <c r="N9" s="1" t="s">
        <v>293</v>
      </c>
      <c r="O9" t="s">
        <v>271</v>
      </c>
    </row>
    <row r="10" spans="1:15" ht="28.5">
      <c r="A10" s="28" t="s">
        <v>289</v>
      </c>
      <c r="B10" s="1" t="s">
        <v>484</v>
      </c>
      <c r="C10" s="1">
        <v>1</v>
      </c>
      <c r="D10" s="1" t="s">
        <v>291</v>
      </c>
      <c r="E10" s="1">
        <v>6</v>
      </c>
      <c r="F10" s="19">
        <v>6</v>
      </c>
      <c r="G10" s="31">
        <f>$B$3</f>
        <v>30.77</v>
      </c>
      <c r="H10" s="20">
        <f t="shared" ref="H10:H50" si="0">F10*G10</f>
        <v>184.62</v>
      </c>
      <c r="I10" s="1"/>
      <c r="J10" s="20"/>
      <c r="K10" s="20"/>
      <c r="L10" s="20">
        <f t="shared" ref="L10:L50" si="1">SUM(H10+K10)</f>
        <v>184.62</v>
      </c>
      <c r="M10" s="1" t="s">
        <v>485</v>
      </c>
      <c r="N10" s="1" t="s">
        <v>486</v>
      </c>
      <c r="O10" t="s">
        <v>479</v>
      </c>
    </row>
    <row r="11" spans="1:15" ht="28.5">
      <c r="A11" s="28" t="s">
        <v>289</v>
      </c>
      <c r="B11" s="1" t="s">
        <v>487</v>
      </c>
      <c r="C11" s="1">
        <v>1</v>
      </c>
      <c r="D11" s="1" t="s">
        <v>291</v>
      </c>
      <c r="E11" s="1">
        <v>8</v>
      </c>
      <c r="F11" s="19">
        <v>8</v>
      </c>
      <c r="G11" s="31">
        <f>$B$5</f>
        <v>46.54</v>
      </c>
      <c r="H11" s="20">
        <f t="shared" si="0"/>
        <v>372.32</v>
      </c>
      <c r="I11" s="1"/>
      <c r="J11" s="20"/>
      <c r="K11" s="20"/>
      <c r="L11" s="20">
        <f t="shared" si="1"/>
        <v>372.32</v>
      </c>
      <c r="M11" s="1" t="s">
        <v>488</v>
      </c>
      <c r="N11" s="1" t="s">
        <v>489</v>
      </c>
      <c r="O11" t="s">
        <v>481</v>
      </c>
    </row>
    <row r="12" spans="1:15">
      <c r="A12" s="28" t="s">
        <v>289</v>
      </c>
      <c r="B12" s="1" t="s">
        <v>490</v>
      </c>
      <c r="C12" s="1">
        <v>1</v>
      </c>
      <c r="D12" s="1" t="s">
        <v>291</v>
      </c>
      <c r="E12" s="1">
        <v>8</v>
      </c>
      <c r="F12" s="19">
        <v>8</v>
      </c>
      <c r="G12" s="31">
        <f>$B$2</f>
        <v>51.43</v>
      </c>
      <c r="H12" s="20">
        <f t="shared" si="0"/>
        <v>411.44</v>
      </c>
      <c r="I12" s="1"/>
      <c r="J12" s="20"/>
      <c r="K12" s="20"/>
      <c r="L12" s="20">
        <f t="shared" si="1"/>
        <v>411.44</v>
      </c>
      <c r="M12" s="1" t="s">
        <v>491</v>
      </c>
      <c r="N12" s="1" t="s">
        <v>299</v>
      </c>
      <c r="O12" t="s">
        <v>271</v>
      </c>
    </row>
    <row r="13" spans="1:15">
      <c r="A13" s="28" t="s">
        <v>289</v>
      </c>
      <c r="B13" s="1" t="s">
        <v>492</v>
      </c>
      <c r="C13" s="1">
        <v>1</v>
      </c>
      <c r="D13" s="1" t="s">
        <v>291</v>
      </c>
      <c r="E13" s="1">
        <v>8</v>
      </c>
      <c r="F13" s="19">
        <v>8</v>
      </c>
      <c r="G13" s="31">
        <f>$B$2</f>
        <v>51.43</v>
      </c>
      <c r="H13" s="20">
        <f t="shared" si="0"/>
        <v>411.44</v>
      </c>
      <c r="I13" s="1"/>
      <c r="J13" s="20"/>
      <c r="K13" s="20"/>
      <c r="L13" s="20">
        <f t="shared" si="1"/>
        <v>411.44</v>
      </c>
      <c r="M13" s="1" t="s">
        <v>304</v>
      </c>
      <c r="N13" s="1" t="s">
        <v>305</v>
      </c>
      <c r="O13" t="s">
        <v>271</v>
      </c>
    </row>
    <row r="14" spans="1:15">
      <c r="A14" s="42" t="s">
        <v>493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</row>
    <row r="15" spans="1:15">
      <c r="A15" s="28" t="s">
        <v>315</v>
      </c>
      <c r="B15" s="1" t="s">
        <v>494</v>
      </c>
      <c r="C15" s="1">
        <v>300</v>
      </c>
      <c r="D15" s="1" t="s">
        <v>317</v>
      </c>
      <c r="E15" s="1">
        <v>0.05</v>
      </c>
      <c r="F15" s="19">
        <v>15</v>
      </c>
      <c r="G15" s="31">
        <f>$B$3</f>
        <v>30.77</v>
      </c>
      <c r="H15" s="20">
        <f t="shared" si="0"/>
        <v>461.55</v>
      </c>
      <c r="I15" s="1" t="s">
        <v>495</v>
      </c>
      <c r="J15" s="20">
        <v>2.5</v>
      </c>
      <c r="K15" s="20">
        <f t="shared" ref="K10:K50" si="2">C15*J15</f>
        <v>750</v>
      </c>
      <c r="L15" s="20">
        <f t="shared" si="1"/>
        <v>1211.55</v>
      </c>
      <c r="M15" s="1" t="s">
        <v>496</v>
      </c>
      <c r="N15" s="1" t="s">
        <v>497</v>
      </c>
      <c r="O15" t="s">
        <v>479</v>
      </c>
    </row>
    <row r="16" spans="1:15">
      <c r="A16" s="28" t="s">
        <v>315</v>
      </c>
      <c r="B16" s="1" t="s">
        <v>498</v>
      </c>
      <c r="C16" s="1">
        <v>200</v>
      </c>
      <c r="D16" s="1" t="s">
        <v>321</v>
      </c>
      <c r="E16" s="1">
        <v>0.08</v>
      </c>
      <c r="F16" s="19">
        <v>16</v>
      </c>
      <c r="G16" s="31">
        <f>$B$3</f>
        <v>30.77</v>
      </c>
      <c r="H16" s="20">
        <f t="shared" si="0"/>
        <v>492.32</v>
      </c>
      <c r="I16" s="1" t="s">
        <v>499</v>
      </c>
      <c r="J16" s="20">
        <v>20</v>
      </c>
      <c r="K16" s="20">
        <f t="shared" si="2"/>
        <v>4000</v>
      </c>
      <c r="L16" s="20">
        <f t="shared" si="1"/>
        <v>4492.32</v>
      </c>
      <c r="M16" s="1" t="s">
        <v>500</v>
      </c>
      <c r="N16" s="1" t="s">
        <v>501</v>
      </c>
      <c r="O16" t="s">
        <v>479</v>
      </c>
    </row>
    <row r="17" spans="1:15">
      <c r="A17" s="27" t="s">
        <v>315</v>
      </c>
      <c r="B17" t="s">
        <v>502</v>
      </c>
      <c r="C17">
        <v>20</v>
      </c>
      <c r="D17" t="s">
        <v>317</v>
      </c>
      <c r="E17">
        <v>0.75</v>
      </c>
      <c r="F17">
        <v>15</v>
      </c>
      <c r="G17" s="31">
        <f>$B$3</f>
        <v>30.77</v>
      </c>
      <c r="H17" s="20">
        <f t="shared" si="0"/>
        <v>461.55</v>
      </c>
      <c r="I17" t="s">
        <v>503</v>
      </c>
      <c r="J17">
        <v>35</v>
      </c>
      <c r="K17" s="20">
        <f t="shared" si="2"/>
        <v>700</v>
      </c>
      <c r="L17" s="20">
        <f t="shared" si="1"/>
        <v>1161.55</v>
      </c>
      <c r="M17" t="s">
        <v>504</v>
      </c>
      <c r="N17" t="s">
        <v>505</v>
      </c>
      <c r="O17" t="s">
        <v>479</v>
      </c>
    </row>
    <row r="18" spans="1:15">
      <c r="A18" s="28" t="s">
        <v>315</v>
      </c>
      <c r="B18" s="1" t="s">
        <v>506</v>
      </c>
      <c r="C18" s="1">
        <v>50</v>
      </c>
      <c r="D18" s="1" t="s">
        <v>317</v>
      </c>
      <c r="E18" s="1">
        <v>0.3</v>
      </c>
      <c r="F18" s="19">
        <v>15</v>
      </c>
      <c r="G18" s="31">
        <f>$B$3</f>
        <v>30.77</v>
      </c>
      <c r="H18" s="20">
        <f t="shared" si="0"/>
        <v>461.55</v>
      </c>
      <c r="I18" s="1" t="s">
        <v>507</v>
      </c>
      <c r="J18" s="20">
        <v>25</v>
      </c>
      <c r="K18" s="20">
        <f t="shared" si="2"/>
        <v>1250</v>
      </c>
      <c r="L18" s="20">
        <f t="shared" si="1"/>
        <v>1711.55</v>
      </c>
      <c r="M18" s="1" t="s">
        <v>508</v>
      </c>
      <c r="N18" s="1" t="s">
        <v>335</v>
      </c>
      <c r="O18" t="s">
        <v>479</v>
      </c>
    </row>
    <row r="19" spans="1:15" ht="28.5" customHeight="1">
      <c r="A19" s="42" t="s">
        <v>509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</row>
    <row r="20" spans="1:15">
      <c r="A20" s="28" t="s">
        <v>315</v>
      </c>
      <c r="B20" s="1" t="s">
        <v>510</v>
      </c>
      <c r="C20" s="1">
        <v>3</v>
      </c>
      <c r="D20" s="1" t="s">
        <v>317</v>
      </c>
      <c r="E20" s="1">
        <v>3</v>
      </c>
      <c r="F20" s="19">
        <v>9</v>
      </c>
      <c r="G20" s="31">
        <f>$B$3</f>
        <v>30.77</v>
      </c>
      <c r="H20" s="20">
        <f t="shared" si="0"/>
        <v>276.93</v>
      </c>
      <c r="I20" s="1" t="s">
        <v>511</v>
      </c>
      <c r="J20" s="20">
        <v>350</v>
      </c>
      <c r="K20" s="20">
        <f t="shared" si="2"/>
        <v>1050</v>
      </c>
      <c r="L20" s="20">
        <f t="shared" si="1"/>
        <v>1326.93</v>
      </c>
      <c r="M20" s="1" t="s">
        <v>512</v>
      </c>
      <c r="N20" s="1" t="s">
        <v>513</v>
      </c>
      <c r="O20" t="s">
        <v>479</v>
      </c>
    </row>
    <row r="21" spans="1:15">
      <c r="A21" s="28" t="s">
        <v>315</v>
      </c>
      <c r="B21" s="1" t="s">
        <v>514</v>
      </c>
      <c r="C21" s="1">
        <v>2</v>
      </c>
      <c r="D21" s="1" t="s">
        <v>317</v>
      </c>
      <c r="E21" s="1">
        <v>4</v>
      </c>
      <c r="F21" s="19">
        <v>8</v>
      </c>
      <c r="G21" s="31">
        <f>$B$3</f>
        <v>30.77</v>
      </c>
      <c r="H21" s="20">
        <f t="shared" si="0"/>
        <v>246.16</v>
      </c>
      <c r="I21" s="1" t="s">
        <v>515</v>
      </c>
      <c r="J21" s="20">
        <v>900</v>
      </c>
      <c r="K21" s="20">
        <f t="shared" si="2"/>
        <v>1800</v>
      </c>
      <c r="L21" s="20">
        <f t="shared" si="1"/>
        <v>2046.16</v>
      </c>
      <c r="M21" s="1" t="s">
        <v>516</v>
      </c>
      <c r="N21" s="1" t="s">
        <v>517</v>
      </c>
      <c r="O21" t="s">
        <v>479</v>
      </c>
    </row>
    <row r="22" spans="1:15">
      <c r="A22" s="28" t="s">
        <v>315</v>
      </c>
      <c r="B22" s="1" t="s">
        <v>518</v>
      </c>
      <c r="C22" s="1">
        <v>60</v>
      </c>
      <c r="D22" s="1" t="s">
        <v>321</v>
      </c>
      <c r="E22" s="1">
        <v>0.15</v>
      </c>
      <c r="F22" s="19">
        <v>9</v>
      </c>
      <c r="G22" s="31">
        <f>$B$3</f>
        <v>30.77</v>
      </c>
      <c r="H22" s="20">
        <f t="shared" si="0"/>
        <v>276.93</v>
      </c>
      <c r="I22" s="1" t="s">
        <v>519</v>
      </c>
      <c r="J22" s="20">
        <v>18</v>
      </c>
      <c r="K22" s="20">
        <f t="shared" si="2"/>
        <v>1080</v>
      </c>
      <c r="L22" s="20">
        <f t="shared" si="1"/>
        <v>1356.93</v>
      </c>
      <c r="M22" s="1" t="s">
        <v>520</v>
      </c>
      <c r="N22" s="1" t="s">
        <v>521</v>
      </c>
      <c r="O22" t="s">
        <v>479</v>
      </c>
    </row>
    <row r="23" spans="1:15">
      <c r="A23" s="28" t="s">
        <v>310</v>
      </c>
      <c r="B23" s="1" t="s">
        <v>522</v>
      </c>
      <c r="C23" s="1">
        <v>6</v>
      </c>
      <c r="D23" s="1" t="s">
        <v>317</v>
      </c>
      <c r="E23" s="1"/>
      <c r="F23" s="19"/>
      <c r="G23" s="20"/>
      <c r="H23" s="20"/>
      <c r="I23" s="1" t="s">
        <v>523</v>
      </c>
      <c r="J23" s="20">
        <v>120</v>
      </c>
      <c r="K23" s="20">
        <f t="shared" si="2"/>
        <v>720</v>
      </c>
      <c r="L23" s="20">
        <f t="shared" si="1"/>
        <v>720</v>
      </c>
      <c r="M23" s="1" t="s">
        <v>524</v>
      </c>
      <c r="N23" s="1"/>
    </row>
    <row r="24" spans="1:15">
      <c r="A24" s="28" t="s">
        <v>289</v>
      </c>
      <c r="B24" s="1" t="s">
        <v>525</v>
      </c>
      <c r="C24" s="1">
        <v>6</v>
      </c>
      <c r="D24" s="1" t="s">
        <v>317</v>
      </c>
      <c r="E24" s="1">
        <v>0.5</v>
      </c>
      <c r="F24" s="19">
        <v>3</v>
      </c>
      <c r="G24" s="31">
        <f>$B$3</f>
        <v>30.77</v>
      </c>
      <c r="H24" s="20">
        <f t="shared" si="0"/>
        <v>92.31</v>
      </c>
      <c r="I24" s="1"/>
      <c r="J24" s="20"/>
      <c r="K24" s="20"/>
      <c r="L24" s="20">
        <f t="shared" si="1"/>
        <v>92.31</v>
      </c>
      <c r="M24" s="1" t="s">
        <v>526</v>
      </c>
      <c r="N24" s="1"/>
      <c r="O24" t="s">
        <v>479</v>
      </c>
    </row>
    <row r="25" spans="1:15" ht="28.5">
      <c r="A25" s="28" t="s">
        <v>310</v>
      </c>
      <c r="B25" s="1" t="s">
        <v>527</v>
      </c>
      <c r="C25" s="1">
        <v>12</v>
      </c>
      <c r="D25" s="1" t="s">
        <v>317</v>
      </c>
      <c r="E25" s="1"/>
      <c r="F25" s="19"/>
      <c r="G25" s="20"/>
      <c r="H25" s="20"/>
      <c r="I25" s="1" t="s">
        <v>528</v>
      </c>
      <c r="J25" s="20">
        <v>110</v>
      </c>
      <c r="K25" s="20">
        <f t="shared" si="2"/>
        <v>1320</v>
      </c>
      <c r="L25" s="20">
        <f t="shared" si="1"/>
        <v>1320</v>
      </c>
      <c r="M25" s="1" t="s">
        <v>529</v>
      </c>
      <c r="N25" s="1"/>
    </row>
    <row r="26" spans="1:15">
      <c r="A26" s="28" t="s">
        <v>289</v>
      </c>
      <c r="B26" s="1" t="s">
        <v>530</v>
      </c>
      <c r="C26" s="1">
        <v>12</v>
      </c>
      <c r="D26" s="1" t="s">
        <v>317</v>
      </c>
      <c r="E26" s="1">
        <v>0.75</v>
      </c>
      <c r="F26" s="19">
        <v>9</v>
      </c>
      <c r="G26" s="31">
        <f>$B$3</f>
        <v>30.77</v>
      </c>
      <c r="H26" s="20">
        <f t="shared" si="0"/>
        <v>276.93</v>
      </c>
      <c r="I26" s="1"/>
      <c r="J26" s="20">
        <v>0</v>
      </c>
      <c r="K26" s="20">
        <f t="shared" si="2"/>
        <v>0</v>
      </c>
      <c r="L26" s="20">
        <f t="shared" si="1"/>
        <v>276.93</v>
      </c>
      <c r="M26" s="1" t="s">
        <v>531</v>
      </c>
      <c r="N26" s="1"/>
      <c r="O26" t="s">
        <v>479</v>
      </c>
    </row>
    <row r="27" spans="1:15">
      <c r="A27" s="28" t="s">
        <v>310</v>
      </c>
      <c r="B27" s="1" t="s">
        <v>532</v>
      </c>
      <c r="C27" s="1">
        <v>500</v>
      </c>
      <c r="D27" s="1" t="s">
        <v>317</v>
      </c>
      <c r="E27" s="1"/>
      <c r="F27" s="19"/>
      <c r="G27" s="20"/>
      <c r="H27" s="20"/>
      <c r="I27" s="1" t="s">
        <v>533</v>
      </c>
      <c r="J27" s="20">
        <v>3.5</v>
      </c>
      <c r="K27" s="20">
        <f t="shared" si="2"/>
        <v>1750</v>
      </c>
      <c r="L27" s="20">
        <f t="shared" si="1"/>
        <v>1750</v>
      </c>
      <c r="M27" s="1"/>
      <c r="N27" s="1"/>
    </row>
    <row r="28" spans="1:15">
      <c r="A28" s="29" t="s">
        <v>310</v>
      </c>
      <c r="B28" t="s">
        <v>534</v>
      </c>
      <c r="C28">
        <v>250</v>
      </c>
      <c r="D28" t="s">
        <v>317</v>
      </c>
      <c r="H28" s="20"/>
      <c r="I28" t="s">
        <v>535</v>
      </c>
      <c r="J28">
        <v>1.75</v>
      </c>
      <c r="K28" s="20">
        <f t="shared" si="2"/>
        <v>437.5</v>
      </c>
      <c r="L28" s="20">
        <f t="shared" si="1"/>
        <v>437.5</v>
      </c>
    </row>
    <row r="29" spans="1:15">
      <c r="A29" s="28" t="s">
        <v>310</v>
      </c>
      <c r="B29" s="1" t="s">
        <v>536</v>
      </c>
      <c r="C29" s="1">
        <v>1</v>
      </c>
      <c r="D29" s="1" t="s">
        <v>291</v>
      </c>
      <c r="E29" s="1"/>
      <c r="F29" s="19"/>
      <c r="G29" s="20"/>
      <c r="H29" s="20"/>
      <c r="I29" s="1" t="s">
        <v>537</v>
      </c>
      <c r="J29" s="20">
        <v>250</v>
      </c>
      <c r="K29" s="20">
        <f t="shared" si="2"/>
        <v>250</v>
      </c>
      <c r="L29" s="20">
        <f t="shared" si="1"/>
        <v>250</v>
      </c>
      <c r="M29" s="1"/>
      <c r="N29" s="1"/>
    </row>
    <row r="30" spans="1:15">
      <c r="A30" s="28" t="s">
        <v>315</v>
      </c>
      <c r="B30" s="1" t="s">
        <v>538</v>
      </c>
      <c r="C30" s="1">
        <v>1</v>
      </c>
      <c r="D30" s="1" t="s">
        <v>291</v>
      </c>
      <c r="E30" s="1">
        <v>4</v>
      </c>
      <c r="F30" s="19">
        <v>4</v>
      </c>
      <c r="G30" s="31">
        <f>$B$3</f>
        <v>30.77</v>
      </c>
      <c r="H30" s="20">
        <f t="shared" si="0"/>
        <v>123.08</v>
      </c>
      <c r="I30" s="1" t="s">
        <v>539</v>
      </c>
      <c r="J30" s="20">
        <v>300</v>
      </c>
      <c r="K30" s="20">
        <f t="shared" si="2"/>
        <v>300</v>
      </c>
      <c r="L30" s="20">
        <f t="shared" si="1"/>
        <v>423.08</v>
      </c>
      <c r="M30" s="1"/>
      <c r="N30" s="1" t="s">
        <v>344</v>
      </c>
      <c r="O30" t="s">
        <v>479</v>
      </c>
    </row>
    <row r="31" spans="1:15">
      <c r="A31" s="42" t="s">
        <v>540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43"/>
      <c r="O31" s="43"/>
    </row>
    <row r="32" spans="1:15" ht="28.5">
      <c r="A32" s="28" t="s">
        <v>310</v>
      </c>
      <c r="B32" s="1" t="s">
        <v>541</v>
      </c>
      <c r="C32" s="1">
        <v>20</v>
      </c>
      <c r="D32" s="1" t="s">
        <v>542</v>
      </c>
      <c r="E32" s="1"/>
      <c r="F32" s="19"/>
      <c r="G32" s="20"/>
      <c r="H32" s="20"/>
      <c r="I32" s="1" t="s">
        <v>543</v>
      </c>
      <c r="J32" s="20">
        <v>230</v>
      </c>
      <c r="K32" s="20">
        <f t="shared" si="2"/>
        <v>4600</v>
      </c>
      <c r="L32" s="20">
        <f t="shared" si="1"/>
        <v>4600</v>
      </c>
      <c r="M32" s="1" t="s">
        <v>544</v>
      </c>
      <c r="N32" s="1"/>
    </row>
    <row r="33" spans="1:15" ht="28.5">
      <c r="A33" s="28" t="s">
        <v>289</v>
      </c>
      <c r="B33" s="1" t="s">
        <v>545</v>
      </c>
      <c r="C33" s="1">
        <v>250</v>
      </c>
      <c r="D33" s="1" t="s">
        <v>546</v>
      </c>
      <c r="E33" s="1">
        <v>2</v>
      </c>
      <c r="F33" s="19">
        <v>500</v>
      </c>
      <c r="G33" s="31">
        <f>$B$3</f>
        <v>30.77</v>
      </c>
      <c r="H33" s="20">
        <f t="shared" si="0"/>
        <v>15385</v>
      </c>
      <c r="I33" s="1"/>
      <c r="J33" s="20"/>
      <c r="K33" s="20"/>
      <c r="L33" s="20">
        <f t="shared" si="1"/>
        <v>15385</v>
      </c>
      <c r="M33" s="1" t="s">
        <v>547</v>
      </c>
      <c r="N33" s="1" t="s">
        <v>548</v>
      </c>
      <c r="O33" t="s">
        <v>479</v>
      </c>
    </row>
    <row r="34" spans="1:15" ht="28.5">
      <c r="A34" s="28" t="s">
        <v>310</v>
      </c>
      <c r="B34" s="1" t="s">
        <v>549</v>
      </c>
      <c r="C34" s="1">
        <v>250</v>
      </c>
      <c r="D34" s="1" t="s">
        <v>317</v>
      </c>
      <c r="E34" s="1"/>
      <c r="F34" s="19"/>
      <c r="G34" s="20"/>
      <c r="H34" s="20"/>
      <c r="I34" s="1" t="s">
        <v>550</v>
      </c>
      <c r="J34" s="20">
        <v>6</v>
      </c>
      <c r="K34" s="20">
        <f t="shared" si="2"/>
        <v>1500</v>
      </c>
      <c r="L34" s="20">
        <f t="shared" si="1"/>
        <v>1500</v>
      </c>
      <c r="M34" s="1"/>
      <c r="N34" s="1"/>
    </row>
    <row r="35" spans="1:15" ht="28.5">
      <c r="A35" s="28" t="s">
        <v>310</v>
      </c>
      <c r="B35" s="1" t="s">
        <v>551</v>
      </c>
      <c r="C35" s="1">
        <v>250</v>
      </c>
      <c r="D35" s="1" t="s">
        <v>317</v>
      </c>
      <c r="E35" s="1"/>
      <c r="F35" s="19"/>
      <c r="G35" s="20"/>
      <c r="H35" s="20"/>
      <c r="I35" s="1" t="s">
        <v>552</v>
      </c>
      <c r="J35" s="20">
        <v>4</v>
      </c>
      <c r="K35" s="20">
        <f t="shared" si="2"/>
        <v>1000</v>
      </c>
      <c r="L35" s="20">
        <f t="shared" si="1"/>
        <v>1000</v>
      </c>
      <c r="M35" s="1"/>
      <c r="N35" s="1"/>
    </row>
    <row r="36" spans="1:15">
      <c r="A36" s="42" t="s">
        <v>553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</row>
    <row r="37" spans="1:15">
      <c r="A37" s="28" t="s">
        <v>289</v>
      </c>
      <c r="B37" s="1" t="s">
        <v>554</v>
      </c>
      <c r="C37" s="1">
        <v>20</v>
      </c>
      <c r="D37" s="1" t="s">
        <v>317</v>
      </c>
      <c r="E37" s="1">
        <v>1.5</v>
      </c>
      <c r="F37" s="19">
        <v>30</v>
      </c>
      <c r="G37" s="31">
        <f>$B$3</f>
        <v>30.77</v>
      </c>
      <c r="H37" s="20">
        <f t="shared" si="0"/>
        <v>923.1</v>
      </c>
      <c r="I37" s="1"/>
      <c r="J37" s="20"/>
      <c r="K37" s="20"/>
      <c r="L37" s="20">
        <f t="shared" si="1"/>
        <v>923.1</v>
      </c>
      <c r="M37" s="1" t="s">
        <v>555</v>
      </c>
      <c r="N37" s="1" t="s">
        <v>556</v>
      </c>
      <c r="O37" t="s">
        <v>479</v>
      </c>
    </row>
    <row r="38" spans="1:15">
      <c r="A38" s="28" t="s">
        <v>310</v>
      </c>
      <c r="B38" s="1" t="s">
        <v>557</v>
      </c>
      <c r="C38" s="1">
        <v>20</v>
      </c>
      <c r="D38" s="1" t="s">
        <v>317</v>
      </c>
      <c r="E38" s="1"/>
      <c r="F38" s="19"/>
      <c r="G38" s="20"/>
      <c r="H38" s="20">
        <f t="shared" si="0"/>
        <v>0</v>
      </c>
      <c r="I38" s="1" t="s">
        <v>558</v>
      </c>
      <c r="J38" s="20">
        <v>25</v>
      </c>
      <c r="K38" s="20">
        <f t="shared" si="2"/>
        <v>500</v>
      </c>
      <c r="L38" s="20">
        <f t="shared" si="1"/>
        <v>500</v>
      </c>
      <c r="M38" s="1"/>
      <c r="N38" s="1"/>
    </row>
    <row r="39" spans="1:15">
      <c r="A39" s="42" t="s">
        <v>559</v>
      </c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</row>
    <row r="40" spans="1:15">
      <c r="A40" s="29" t="s">
        <v>315</v>
      </c>
      <c r="B40" t="s">
        <v>560</v>
      </c>
      <c r="C40">
        <v>2</v>
      </c>
      <c r="D40" t="s">
        <v>561</v>
      </c>
      <c r="E40">
        <v>6</v>
      </c>
      <c r="F40">
        <v>12</v>
      </c>
      <c r="G40" s="31">
        <f>$B$4</f>
        <v>33.9</v>
      </c>
      <c r="H40" s="20">
        <f t="shared" si="0"/>
        <v>406.79999999999995</v>
      </c>
      <c r="I40" t="s">
        <v>562</v>
      </c>
      <c r="J40">
        <v>900</v>
      </c>
      <c r="K40" s="20">
        <f t="shared" si="2"/>
        <v>1800</v>
      </c>
      <c r="L40" s="20">
        <f t="shared" si="1"/>
        <v>2206.8000000000002</v>
      </c>
      <c r="M40" t="s">
        <v>563</v>
      </c>
      <c r="N40" t="s">
        <v>564</v>
      </c>
      <c r="O40" t="s">
        <v>480</v>
      </c>
    </row>
    <row r="41" spans="1:15">
      <c r="A41" s="28" t="s">
        <v>310</v>
      </c>
      <c r="B41" s="1" t="s">
        <v>565</v>
      </c>
      <c r="C41" s="1">
        <v>4</v>
      </c>
      <c r="D41" s="1" t="s">
        <v>317</v>
      </c>
      <c r="E41" s="1"/>
      <c r="F41" s="19"/>
      <c r="G41" s="20"/>
      <c r="H41" s="20"/>
      <c r="I41" s="1" t="s">
        <v>566</v>
      </c>
      <c r="J41" s="20">
        <v>250</v>
      </c>
      <c r="K41" s="20">
        <f t="shared" si="2"/>
        <v>1000</v>
      </c>
      <c r="L41" s="20">
        <f t="shared" si="1"/>
        <v>1000</v>
      </c>
      <c r="M41" s="1"/>
      <c r="N41" s="1"/>
    </row>
    <row r="42" spans="1:15">
      <c r="A42" s="28" t="s">
        <v>289</v>
      </c>
      <c r="B42" s="1" t="s">
        <v>567</v>
      </c>
      <c r="C42" s="1">
        <v>48</v>
      </c>
      <c r="D42" s="1" t="s">
        <v>568</v>
      </c>
      <c r="E42" s="1">
        <v>0.5</v>
      </c>
      <c r="F42" s="19">
        <v>24</v>
      </c>
      <c r="G42" s="31">
        <f>$B$4</f>
        <v>33.9</v>
      </c>
      <c r="H42" s="20">
        <f t="shared" si="0"/>
        <v>813.59999999999991</v>
      </c>
      <c r="I42" s="1"/>
      <c r="J42" s="20"/>
      <c r="K42" s="20"/>
      <c r="L42" s="20">
        <f t="shared" si="1"/>
        <v>813.59999999999991</v>
      </c>
      <c r="M42" s="1" t="s">
        <v>569</v>
      </c>
      <c r="N42" s="1"/>
      <c r="O42" t="s">
        <v>480</v>
      </c>
    </row>
    <row r="43" spans="1:15">
      <c r="A43" s="28" t="s">
        <v>310</v>
      </c>
      <c r="B43" s="1" t="s">
        <v>570</v>
      </c>
      <c r="C43" s="1">
        <v>48</v>
      </c>
      <c r="D43" s="1" t="s">
        <v>317</v>
      </c>
      <c r="E43" s="1"/>
      <c r="F43" s="19"/>
      <c r="G43" s="20"/>
      <c r="H43" s="20"/>
      <c r="I43" s="1" t="s">
        <v>571</v>
      </c>
      <c r="J43" s="20">
        <v>8</v>
      </c>
      <c r="K43" s="20">
        <f t="shared" si="2"/>
        <v>384</v>
      </c>
      <c r="L43" s="20">
        <f t="shared" si="1"/>
        <v>384</v>
      </c>
      <c r="M43" s="1"/>
      <c r="N43" s="1"/>
    </row>
    <row r="44" spans="1:15">
      <c r="A44" s="42" t="s">
        <v>572</v>
      </c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</row>
    <row r="45" spans="1:15">
      <c r="A45" s="28" t="s">
        <v>289</v>
      </c>
      <c r="B45" s="1" t="s">
        <v>573</v>
      </c>
      <c r="C45" s="1">
        <v>520</v>
      </c>
      <c r="D45" s="1" t="s">
        <v>574</v>
      </c>
      <c r="E45" s="1">
        <v>0.05</v>
      </c>
      <c r="F45" s="19">
        <v>26</v>
      </c>
      <c r="G45" s="31">
        <f>$B$3</f>
        <v>30.77</v>
      </c>
      <c r="H45" s="20">
        <f t="shared" si="0"/>
        <v>800.02</v>
      </c>
      <c r="I45" s="1"/>
      <c r="J45" s="20">
        <v>0</v>
      </c>
      <c r="K45" s="20">
        <f t="shared" si="2"/>
        <v>0</v>
      </c>
      <c r="L45" s="20">
        <f t="shared" si="1"/>
        <v>800.02</v>
      </c>
      <c r="M45" s="1" t="s">
        <v>575</v>
      </c>
      <c r="N45" s="1" t="s">
        <v>463</v>
      </c>
      <c r="O45" t="s">
        <v>479</v>
      </c>
    </row>
    <row r="46" spans="1:15">
      <c r="A46" s="28" t="s">
        <v>289</v>
      </c>
      <c r="B46" s="1" t="s">
        <v>576</v>
      </c>
      <c r="C46" s="1">
        <v>1</v>
      </c>
      <c r="D46" s="1" t="s">
        <v>291</v>
      </c>
      <c r="E46" s="1">
        <v>12</v>
      </c>
      <c r="F46" s="19">
        <v>12</v>
      </c>
      <c r="G46" s="31">
        <f>$B$5</f>
        <v>46.54</v>
      </c>
      <c r="H46" s="20">
        <f t="shared" si="0"/>
        <v>558.48</v>
      </c>
      <c r="I46" s="1"/>
      <c r="J46" s="20">
        <v>0</v>
      </c>
      <c r="K46" s="20">
        <f t="shared" si="2"/>
        <v>0</v>
      </c>
      <c r="L46" s="20">
        <f t="shared" si="1"/>
        <v>558.48</v>
      </c>
      <c r="M46" s="1" t="s">
        <v>577</v>
      </c>
      <c r="N46" s="1" t="s">
        <v>578</v>
      </c>
      <c r="O46" t="s">
        <v>481</v>
      </c>
    </row>
    <row r="47" spans="1:15">
      <c r="A47" s="28" t="s">
        <v>289</v>
      </c>
      <c r="B47" s="1" t="s">
        <v>579</v>
      </c>
      <c r="C47" s="1">
        <v>1</v>
      </c>
      <c r="D47" s="1" t="s">
        <v>291</v>
      </c>
      <c r="E47" s="1">
        <v>4</v>
      </c>
      <c r="F47" s="19">
        <v>4</v>
      </c>
      <c r="G47" s="31">
        <f>$B$2</f>
        <v>51.43</v>
      </c>
      <c r="H47" s="20">
        <f t="shared" si="0"/>
        <v>205.72</v>
      </c>
      <c r="I47" s="1"/>
      <c r="J47" s="20">
        <v>0</v>
      </c>
      <c r="K47" s="20">
        <f t="shared" si="2"/>
        <v>0</v>
      </c>
      <c r="L47" s="20">
        <f t="shared" si="1"/>
        <v>205.72</v>
      </c>
      <c r="M47" s="1"/>
      <c r="N47" s="1" t="s">
        <v>580</v>
      </c>
      <c r="O47" t="s">
        <v>271</v>
      </c>
    </row>
    <row r="48" spans="1:15">
      <c r="A48" s="42" t="s">
        <v>581</v>
      </c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</row>
    <row r="49" spans="1:15">
      <c r="A49" s="28" t="s">
        <v>315</v>
      </c>
      <c r="B49" s="1" t="s">
        <v>582</v>
      </c>
      <c r="C49" s="1">
        <v>10</v>
      </c>
      <c r="D49" s="1" t="s">
        <v>317</v>
      </c>
      <c r="E49" s="1">
        <v>2.5</v>
      </c>
      <c r="F49" s="19">
        <v>25</v>
      </c>
      <c r="G49" s="31">
        <f>$B$3</f>
        <v>30.77</v>
      </c>
      <c r="H49" s="20">
        <f t="shared" si="0"/>
        <v>769.25</v>
      </c>
      <c r="I49" s="1" t="s">
        <v>583</v>
      </c>
      <c r="J49" s="20">
        <v>250</v>
      </c>
      <c r="K49" s="20">
        <f t="shared" si="2"/>
        <v>2500</v>
      </c>
      <c r="L49" s="20">
        <f t="shared" si="1"/>
        <v>3269.25</v>
      </c>
      <c r="M49" s="1" t="s">
        <v>584</v>
      </c>
      <c r="N49" s="1"/>
      <c r="O49" t="s">
        <v>479</v>
      </c>
    </row>
    <row r="50" spans="1:15">
      <c r="A50" s="28" t="s">
        <v>315</v>
      </c>
      <c r="B50" s="1" t="s">
        <v>585</v>
      </c>
      <c r="C50" s="1">
        <v>8</v>
      </c>
      <c r="D50" s="1" t="s">
        <v>586</v>
      </c>
      <c r="E50" s="1">
        <v>4</v>
      </c>
      <c r="F50" s="19">
        <v>32</v>
      </c>
      <c r="G50" s="31">
        <f>$B$3</f>
        <v>30.77</v>
      </c>
      <c r="H50" s="20">
        <f t="shared" si="0"/>
        <v>984.64</v>
      </c>
      <c r="I50" s="1" t="s">
        <v>587</v>
      </c>
      <c r="J50" s="20">
        <v>600</v>
      </c>
      <c r="K50" s="20">
        <f t="shared" si="2"/>
        <v>4800</v>
      </c>
      <c r="L50" s="20">
        <f t="shared" si="1"/>
        <v>5784.64</v>
      </c>
      <c r="M50" s="1" t="s">
        <v>588</v>
      </c>
      <c r="N50" s="1"/>
      <c r="O50" t="s">
        <v>479</v>
      </c>
    </row>
    <row r="51" spans="1:15">
      <c r="A51" s="14" t="s">
        <v>478</v>
      </c>
      <c r="B51" s="1"/>
      <c r="C51" s="1"/>
      <c r="D51" s="1"/>
      <c r="E51" s="1"/>
      <c r="F51" s="19"/>
      <c r="G51" s="20"/>
      <c r="H51" s="38">
        <f>SUM(H8:H50)</f>
        <v>25601.46</v>
      </c>
      <c r="I51" s="38"/>
      <c r="J51" s="38"/>
      <c r="K51" s="38">
        <f>SUM(K8:K50)</f>
        <v>33491.5</v>
      </c>
      <c r="L51" s="38">
        <f>SUM(L8:L50)</f>
        <v>59092.959999999999</v>
      </c>
      <c r="M51" s="41"/>
      <c r="N51" s="41"/>
    </row>
    <row r="52" spans="1:15">
      <c r="A52" s="1"/>
      <c r="B52" s="1"/>
      <c r="C52" s="1"/>
      <c r="D52" s="1"/>
      <c r="E52" s="1"/>
      <c r="F52" s="19"/>
      <c r="G52" s="20"/>
      <c r="H52" s="20"/>
      <c r="I52" s="1"/>
      <c r="J52" s="20"/>
      <c r="K52" s="20"/>
      <c r="L52" s="20"/>
      <c r="M52" s="1"/>
      <c r="N52" s="1"/>
    </row>
    <row r="53" spans="1:15">
      <c r="A53" s="1"/>
      <c r="B53" s="1"/>
      <c r="C53" s="1"/>
      <c r="D53" s="1"/>
      <c r="E53" s="1"/>
      <c r="F53" s="19"/>
      <c r="G53" s="20"/>
      <c r="H53" s="20"/>
      <c r="I53" s="1"/>
      <c r="J53" s="20"/>
      <c r="K53" s="20"/>
      <c r="L53" s="20"/>
      <c r="M53" s="1"/>
      <c r="N53" s="1"/>
    </row>
    <row r="54" spans="1:15">
      <c r="A54" s="1"/>
      <c r="B54" s="1"/>
      <c r="C54" s="1"/>
      <c r="D54" s="1"/>
      <c r="E54" s="1"/>
      <c r="F54" s="19"/>
      <c r="G54" s="20"/>
      <c r="H54" s="20"/>
      <c r="I54" s="1"/>
      <c r="J54" s="20"/>
      <c r="K54" s="20"/>
      <c r="L54" s="20"/>
      <c r="M54" s="1"/>
      <c r="N54" s="1"/>
    </row>
    <row r="55" spans="1:15">
      <c r="A55" s="1"/>
      <c r="B55" s="1"/>
      <c r="C55" s="1"/>
      <c r="D55" s="1"/>
      <c r="E55" s="1"/>
      <c r="F55" s="19"/>
      <c r="G55" s="20"/>
      <c r="H55" s="20"/>
      <c r="I55" s="1"/>
      <c r="J55" s="20"/>
      <c r="K55" s="20"/>
      <c r="L55" s="20"/>
      <c r="M55" s="1"/>
      <c r="N55" s="1"/>
    </row>
    <row r="56" spans="1:15">
      <c r="A56" s="1"/>
      <c r="B56" s="1"/>
      <c r="C56" s="1"/>
      <c r="D56" s="1"/>
      <c r="E56" s="1"/>
      <c r="F56" s="19"/>
      <c r="G56" s="20"/>
      <c r="H56" s="20"/>
      <c r="I56" s="1"/>
      <c r="J56" s="20"/>
      <c r="K56" s="20"/>
      <c r="L56" s="20"/>
      <c r="M56" s="1"/>
      <c r="N56" s="1"/>
    </row>
    <row r="57" spans="1:15">
      <c r="A57" s="1"/>
      <c r="B57" s="1"/>
      <c r="C57" s="1"/>
      <c r="D57" s="1"/>
      <c r="E57" s="1"/>
      <c r="F57" s="19"/>
      <c r="G57" s="20"/>
      <c r="H57" s="20"/>
      <c r="I57" s="1"/>
      <c r="J57" s="20"/>
      <c r="K57" s="20"/>
      <c r="L57" s="20"/>
      <c r="M57" s="1"/>
      <c r="N57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9AD88-9960-42FA-A888-979DE9D300A0}">
  <dimension ref="B2:D25"/>
  <sheetViews>
    <sheetView workbookViewId="0">
      <selection activeCell="C30" sqref="C30"/>
    </sheetView>
  </sheetViews>
  <sheetFormatPr defaultRowHeight="14.25"/>
  <cols>
    <col min="4" max="4" width="40.140625" customWidth="1"/>
  </cols>
  <sheetData>
    <row r="2" spans="2:4">
      <c r="B2" t="s">
        <v>589</v>
      </c>
      <c r="D2" s="13" t="s">
        <v>590</v>
      </c>
    </row>
    <row r="3" spans="2:4" ht="28.5">
      <c r="D3" s="30" t="s">
        <v>482</v>
      </c>
    </row>
    <row r="4" spans="2:4">
      <c r="D4" t="s">
        <v>495</v>
      </c>
    </row>
    <row r="5" spans="2:4">
      <c r="D5" t="s">
        <v>499</v>
      </c>
    </row>
    <row r="6" spans="2:4">
      <c r="D6" t="s">
        <v>503</v>
      </c>
    </row>
    <row r="7" spans="2:4">
      <c r="D7" t="s">
        <v>507</v>
      </c>
    </row>
    <row r="8" spans="2:4">
      <c r="D8" t="s">
        <v>511</v>
      </c>
    </row>
    <row r="9" spans="2:4">
      <c r="D9" t="s">
        <v>515</v>
      </c>
    </row>
    <row r="10" spans="2:4">
      <c r="D10" t="s">
        <v>519</v>
      </c>
    </row>
    <row r="11" spans="2:4">
      <c r="D11" t="s">
        <v>523</v>
      </c>
    </row>
    <row r="12" spans="2:4">
      <c r="D12" t="s">
        <v>528</v>
      </c>
    </row>
    <row r="13" spans="2:4">
      <c r="D13" t="s">
        <v>533</v>
      </c>
    </row>
    <row r="14" spans="2:4">
      <c r="D14" t="s">
        <v>535</v>
      </c>
    </row>
    <row r="15" spans="2:4">
      <c r="D15" t="s">
        <v>537</v>
      </c>
    </row>
    <row r="16" spans="2:4">
      <c r="D16" t="s">
        <v>539</v>
      </c>
    </row>
    <row r="17" spans="4:4">
      <c r="D17" t="s">
        <v>543</v>
      </c>
    </row>
    <row r="18" spans="4:4">
      <c r="D18" t="s">
        <v>550</v>
      </c>
    </row>
    <row r="19" spans="4:4">
      <c r="D19" t="s">
        <v>552</v>
      </c>
    </row>
    <row r="20" spans="4:4">
      <c r="D20" t="s">
        <v>558</v>
      </c>
    </row>
    <row r="21" spans="4:4">
      <c r="D21" t="s">
        <v>562</v>
      </c>
    </row>
    <row r="22" spans="4:4">
      <c r="D22" t="s">
        <v>566</v>
      </c>
    </row>
    <row r="23" spans="4:4">
      <c r="D23" t="s">
        <v>571</v>
      </c>
    </row>
    <row r="24" spans="4:4">
      <c r="D24" t="s">
        <v>583</v>
      </c>
    </row>
    <row r="25" spans="4:4">
      <c r="D25" t="s"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Chukwuma Agba</dc:creator>
  <cp:keywords/>
  <dc:description/>
  <cp:lastModifiedBy>Mike Berg</cp:lastModifiedBy>
  <cp:revision/>
  <dcterms:created xsi:type="dcterms:W3CDTF">2015-06-05T18:17:20Z</dcterms:created>
  <dcterms:modified xsi:type="dcterms:W3CDTF">2026-03-11T15:19:00Z</dcterms:modified>
  <cp:category/>
  <cp:contentStatus/>
</cp:coreProperties>
</file>